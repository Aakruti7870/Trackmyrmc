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Dashboard" sheetId="2" state="visible" r:id="rId2"/>
    <sheet name="Setup - Clients" sheetId="3" state="visible" r:id="rId3"/>
    <sheet name="Setup - Mix Design" sheetId="4" state="visible" r:id="rId4"/>
    <sheet name="Setup - Vehicles" sheetId="5" state="visible" r:id="rId5"/>
    <sheet name="Setup - Drivers" sheetId="6" state="visible" r:id="rId6"/>
    <sheet name="Setup - Materials" sheetId="7" state="visible" r:id="rId7"/>
    <sheet name="Orders" sheetId="8" state="visible" r:id="rId8"/>
    <sheet name="Dispatch (Challan)" sheetId="9" state="visible" r:id="rId9"/>
    <sheet name="Batch Production" sheetId="10" state="visible" r:id="rId10"/>
    <sheet name="Material Receipt" sheetId="11" state="visible" r:id="rId11"/>
    <sheet name="Fuel Log" sheetId="12" state="visible" r:id="rId12"/>
    <sheet name="Stock Register" sheetId="13" state="visible" r:id="rId13"/>
    <sheet name="Lists" sheetId="14" state="hidden" r:id="rId14"/>
  </sheets>
  <definedNames>
    <definedName name="ClientList">'Setup - Clients'!$A$5:$A$304</definedName>
    <definedName name="GradeList">'Setup - Mix Design'!$A$5:$A$304</definedName>
    <definedName name="VehicleList">'Setup - Vehicles'!$A$5:$A$304</definedName>
    <definedName name="VehStatusList">'Lists'!$A$2:$A$4</definedName>
    <definedName name="DriverList">'Setup - Drivers'!$A$5:$A$304</definedName>
    <definedName name="MaterialList">'Setup - Materials'!$A$5:$A$304</definedName>
    <definedName name="DispStatusList">'Lists'!$B$2:$B$5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₹#,##0.00"/>
    <numFmt numFmtId="165" formatCode="dd-mmm-yyyy"/>
    <numFmt numFmtId="166" formatCode="#,##0.0"/>
    <numFmt numFmtId="167" formatCode="₹#,##0"/>
  </numFmts>
  <fonts count="15">
    <font>
      <name val="Calibri"/>
      <family val="2"/>
      <color theme="1"/>
      <sz val="11"/>
      <scheme val="minor"/>
    </font>
    <font>
      <name val="Calibri"/>
      <b val="1"/>
      <color rgb="00F7C948"/>
      <sz val="20"/>
    </font>
    <font>
      <i val="1"/>
      <color rgb="009AA7BD"/>
      <sz val="10"/>
    </font>
    <font>
      <b val="1"/>
      <color rgb="0008111F"/>
      <sz val="11"/>
    </font>
    <font>
      <color rgb="0033425C"/>
      <sz val="10"/>
    </font>
    <font>
      <b val="1"/>
      <color rgb="00F7C948"/>
      <sz val="12"/>
    </font>
    <font>
      <name val="Calibri"/>
      <b val="1"/>
      <color rgb="00FFFFFF"/>
      <sz val="11"/>
    </font>
    <font>
      <color rgb="0008111F"/>
      <sz val="11"/>
    </font>
    <font>
      <color rgb="001F3D6B"/>
      <sz val="11"/>
    </font>
    <font>
      <b val="1"/>
      <color rgb="0008111F"/>
    </font>
    <font>
      <b val="1"/>
      <color rgb="009AA7BD"/>
      <sz val="10"/>
    </font>
    <font>
      <b val="1"/>
      <color rgb="00F7C948"/>
      <sz val="18"/>
    </font>
    <font>
      <b val="1"/>
      <color rgb="0022C55E"/>
      <sz val="18"/>
    </font>
    <font>
      <b val="1"/>
      <color rgb="0038BDF8"/>
      <sz val="18"/>
    </font>
    <font>
      <color rgb="0008111F"/>
    </font>
  </fonts>
  <fills count="8">
    <fill>
      <patternFill/>
    </fill>
    <fill>
      <patternFill patternType="gray125"/>
    </fill>
    <fill>
      <patternFill patternType="solid">
        <fgColor rgb="0008111F"/>
      </patternFill>
    </fill>
    <fill>
      <patternFill patternType="solid">
        <fgColor rgb="0012203A"/>
      </patternFill>
    </fill>
    <fill>
      <patternFill patternType="solid">
        <fgColor rgb="00FFFDF3"/>
      </patternFill>
    </fill>
    <fill>
      <patternFill patternType="solid">
        <fgColor rgb="00EEF6FF"/>
      </patternFill>
    </fill>
    <fill>
      <patternFill patternType="solid">
        <fgColor rgb="00FFFFFF"/>
      </patternFill>
    </fill>
    <fill>
      <patternFill patternType="solid">
        <fgColor rgb="00F7C948"/>
      </patternFill>
    </fill>
  </fills>
  <borders count="2">
    <border>
      <left/>
      <right/>
      <top/>
      <bottom/>
      <diagonal/>
    </border>
    <border>
      <left style="thin">
        <color rgb="00C7D0E0"/>
      </left>
      <right style="thin">
        <color rgb="00C7D0E0"/>
      </right>
      <top style="thin">
        <color rgb="00C7D0E0"/>
      </top>
      <bottom style="thin">
        <color rgb="00C7D0E0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5" fillId="3" borderId="0" pivotButton="0" quotePrefix="0" xfId="0"/>
    <xf numFmtId="0" fontId="3" fillId="4" borderId="0" applyAlignment="1" pivotButton="0" quotePrefix="0" xfId="0">
      <alignment vertical="top"/>
    </xf>
    <xf numFmtId="0" fontId="10" fillId="3" borderId="0" applyAlignment="1" pivotButton="0" quotePrefix="0" xfId="0">
      <alignment vertical="center" indent="1"/>
    </xf>
    <xf numFmtId="166" fontId="11" fillId="3" borderId="0" applyAlignment="1" pivotButton="0" quotePrefix="0" xfId="0">
      <alignment vertical="center" indent="1"/>
    </xf>
    <xf numFmtId="166" fontId="12" fillId="3" borderId="0" applyAlignment="1" pivotButton="0" quotePrefix="0" xfId="0">
      <alignment vertical="center" indent="1"/>
    </xf>
    <xf numFmtId="167" fontId="11" fillId="3" borderId="0" applyAlignment="1" pivotButton="0" quotePrefix="0" xfId="0">
      <alignment vertical="center" indent="1"/>
    </xf>
    <xf numFmtId="167" fontId="12" fillId="3" borderId="0" applyAlignment="1" pivotButton="0" quotePrefix="0" xfId="0">
      <alignment vertical="center" indent="1"/>
    </xf>
    <xf numFmtId="167" fontId="13" fillId="3" borderId="0" applyAlignment="1" pivotButton="0" quotePrefix="0" xfId="0">
      <alignment vertical="center" indent="1"/>
    </xf>
    <xf numFmtId="3" fontId="13" fillId="3" borderId="0" applyAlignment="1" pivotButton="0" quotePrefix="0" xfId="0">
      <alignment vertical="center" indent="1"/>
    </xf>
    <xf numFmtId="0" fontId="5" fillId="0" borderId="0" pivotButton="0" quotePrefix="0" xfId="0"/>
    <xf numFmtId="0" fontId="6" fillId="6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9" fillId="6" borderId="1" pivotButton="0" quotePrefix="0" xfId="0"/>
    <xf numFmtId="166" fontId="8" fillId="5" borderId="1" pivotButton="0" quotePrefix="0" xfId="0"/>
    <xf numFmtId="0" fontId="14" fillId="6" borderId="1" pivotButton="0" quotePrefix="0" xfId="0"/>
    <xf numFmtId="0" fontId="7" fillId="4" borderId="1" pivotButton="0" quotePrefix="0" xfId="0"/>
    <xf numFmtId="4" fontId="7" fillId="4" borderId="1" pivotButton="0" quotePrefix="0" xfId="0"/>
    <xf numFmtId="0" fontId="8" fillId="5" borderId="1" pivotButton="0" quotePrefix="0" xfId="0"/>
    <xf numFmtId="164" fontId="7" fillId="4" borderId="1" pivotButton="0" quotePrefix="0" xfId="0"/>
    <xf numFmtId="0" fontId="6" fillId="2" borderId="1" applyAlignment="1" pivotButton="0" quotePrefix="0" xfId="0">
      <alignment horizontal="center" vertical="center" wrapText="1"/>
    </xf>
    <xf numFmtId="165" fontId="7" fillId="4" borderId="1" pivotButton="0" quotePrefix="0" xfId="0"/>
    <xf numFmtId="4" fontId="8" fillId="5" borderId="1" pivotButton="0" quotePrefix="0" xfId="0"/>
    <xf numFmtId="164" fontId="8" fillId="5" borderId="1" pivotButton="0" quotePrefix="0" xfId="0"/>
    <xf numFmtId="0" fontId="9" fillId="7" borderId="1" pivotButton="0" quotePrefix="0" xfId="0"/>
    <xf numFmtId="164" fontId="9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Production by Grade (m3)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'Dashboard'!C15</f>
            </strRef>
          </tx>
          <spPr>
            <a:ln>
              <a:prstDash val="solid"/>
            </a:ln>
          </spPr>
          <cat>
            <numRef>
              <f>'Dashboard'!$B$16:$B$21</f>
            </numRef>
          </cat>
          <val>
            <numRef>
              <f>'Dashboard'!$C$16:$C$21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50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F7C948"/>
    <outlinePr summaryBelow="1" summaryRight="1"/>
    <pageSetUpPr/>
  </sheetPr>
  <dimension ref="A1:C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70" customWidth="1" min="3" max="3"/>
  </cols>
  <sheetData>
    <row r="1" ht="34" customHeight="1">
      <c r="A1" s="1" t="inlineStr">
        <is>
          <t>CONCRETE KING  •  RMC Plant Daily Workbook</t>
        </is>
      </c>
      <c r="B1" s="2" t="n"/>
      <c r="C1" s="2" t="n"/>
    </row>
    <row r="2" ht="18" customHeight="1">
      <c r="A2" s="3" t="inlineStr">
        <is>
          <t>One connected workbook for daily ready-mix concrete plant operations</t>
        </is>
      </c>
      <c r="B2" s="2" t="n"/>
      <c r="C2" s="2" t="n"/>
    </row>
    <row r="4">
      <c r="B4" s="4" t="inlineStr"/>
      <c r="C4" s="5" t="inlineStr"/>
    </row>
    <row r="5" ht="22" customHeight="1">
      <c r="B5" s="6" t="inlineStr">
        <is>
          <t>HOW THIS WORKBOOK WORKS</t>
        </is>
      </c>
    </row>
    <row r="6" ht="30" customHeight="1">
      <c r="B6" s="7" t="inlineStr">
        <is>
          <t>Fill the Setup tabs once</t>
        </is>
      </c>
      <c r="C6" s="5" t="inlineStr">
        <is>
          <t>Enter your Clients, Mix Designs (grades), Vehicles, Drivers and Materials on the 'Setup - *' tabs. Everything else pulls from these.</t>
        </is>
      </c>
    </row>
    <row r="7" ht="30" customHeight="1">
      <c r="B7" s="4" t="inlineStr">
        <is>
          <t>Enter daily work</t>
        </is>
      </c>
      <c r="C7" s="5" t="inlineStr">
        <is>
          <t>Use Orders, Dispatch (Challan), Batch Production, Material Receipt and Fuel Log every day. Pick clients/grades/vehicles from dropdowns - no retyping.</t>
        </is>
      </c>
    </row>
    <row r="8" ht="30" customHeight="1">
      <c r="B8" s="4" t="inlineStr">
        <is>
          <t>Numbers calculate themselves</t>
        </is>
      </c>
      <c r="C8" s="5" t="inlineStr">
        <is>
          <t>Rates, amounts, mix quantities, material consumption and stock are auto-filled by formulas. You enter less, the sheet connects the rest.</t>
        </is>
      </c>
    </row>
    <row r="9" ht="30" customHeight="1">
      <c r="B9" s="4" t="inlineStr">
        <is>
          <t>Read the Dashboard</t>
        </is>
      </c>
      <c r="C9" s="5" t="inlineStr">
        <is>
          <t>The Dashboard tab totals everything live: production, dispatch, sales value, material consumption and closing stock.</t>
        </is>
      </c>
    </row>
    <row r="10">
      <c r="B10" s="4" t="inlineStr"/>
      <c r="C10" s="5" t="inlineStr"/>
    </row>
    <row r="11" ht="22" customHeight="1">
      <c r="B11" s="6" t="inlineStr">
        <is>
          <t>COLOUR GUIDE</t>
        </is>
      </c>
    </row>
    <row r="12" ht="30" customHeight="1">
      <c r="B12" s="4" t="inlineStr">
        <is>
          <t>Gold cells  =  you type here</t>
        </is>
      </c>
      <c r="C12" s="5" t="inlineStr">
        <is>
          <t>These are your entry cells (clients, quantities, dates, etc.).</t>
        </is>
      </c>
    </row>
    <row r="13" ht="30" customHeight="1">
      <c r="B13" s="4" t="inlineStr">
        <is>
          <t>Blue cells  =  auto-calculated</t>
        </is>
      </c>
      <c r="C13" s="5" t="inlineStr">
        <is>
          <t>Do NOT type in blue cells - they fill in automatically from your entries.</t>
        </is>
      </c>
    </row>
    <row r="14">
      <c r="B14" s="4" t="inlineStr"/>
      <c r="C14" s="5" t="inlineStr"/>
    </row>
    <row r="15" ht="22" customHeight="1">
      <c r="B15" s="6" t="inlineStr">
        <is>
          <t>TABS IN ORDER</t>
        </is>
      </c>
    </row>
    <row r="16" ht="30" customHeight="1">
      <c r="B16" s="4" t="inlineStr">
        <is>
          <t>Setup - Clients</t>
        </is>
      </c>
      <c r="C16" s="5" t="inlineStr">
        <is>
          <t>Customer master: name, contact, phone, GST, address.</t>
        </is>
      </c>
    </row>
    <row r="17" ht="30" customHeight="1">
      <c r="B17" s="4" t="inlineStr">
        <is>
          <t>Setup - Mix Design</t>
        </is>
      </c>
      <c r="C17" s="5" t="inlineStr">
        <is>
          <t>Concrete grades and material per m3 (cement/sand/aggregate/water/admixture) + selling rate.</t>
        </is>
      </c>
    </row>
    <row r="18" ht="30" customHeight="1">
      <c r="B18" s="4" t="inlineStr">
        <is>
          <t>Setup - Vehicles</t>
        </is>
      </c>
      <c r="C18" s="5" t="inlineStr">
        <is>
          <t>Transit mixer fleet: number, capacity, default driver.</t>
        </is>
      </c>
    </row>
    <row r="19" ht="30" customHeight="1">
      <c r="B19" s="4" t="inlineStr">
        <is>
          <t>Setup - Drivers</t>
        </is>
      </c>
      <c r="C19" s="5" t="inlineStr">
        <is>
          <t>Driver master: name, phone, licence.</t>
        </is>
      </c>
    </row>
    <row r="20" ht="30" customHeight="1">
      <c r="B20" s="4" t="inlineStr">
        <is>
          <t>Setup - Materials</t>
        </is>
      </c>
      <c r="C20" s="5" t="inlineStr">
        <is>
          <t>Raw material master + opening stock + purchase rate (cement, sand, aggregate, admixture, diesel).</t>
        </is>
      </c>
    </row>
    <row r="21" ht="30" customHeight="1">
      <c r="B21" s="4" t="inlineStr">
        <is>
          <t>Orders</t>
        </is>
      </c>
      <c r="C21" s="5" t="inlineStr">
        <is>
          <t>Daily order book. Pick client + grade; rate and amount auto-fill.</t>
        </is>
      </c>
    </row>
    <row r="22" ht="30" customHeight="1">
      <c r="B22" s="4" t="inlineStr">
        <is>
          <t>Dispatch (Challan)</t>
        </is>
      </c>
      <c r="C22" s="5" t="inlineStr">
        <is>
          <t>Daily delivery challans. Pick client + grade + vehicle; driver auto-fills.</t>
        </is>
      </c>
    </row>
    <row r="23" ht="30" customHeight="1">
      <c r="B23" s="4" t="inlineStr">
        <is>
          <t>Batch Production</t>
        </is>
      </c>
      <c r="C23" s="5" t="inlineStr">
        <is>
          <t>Each batch produced. Enter grade + m3; material consumed auto-computes from Mix Design.</t>
        </is>
      </c>
    </row>
    <row r="24" ht="30" customHeight="1">
      <c r="B24" s="4" t="inlineStr">
        <is>
          <t>Material Receipt</t>
        </is>
      </c>
      <c r="C24" s="5" t="inlineStr">
        <is>
          <t>Incoming raw material purchases.</t>
        </is>
      </c>
    </row>
    <row r="25" ht="30" customHeight="1">
      <c r="B25" s="4" t="inlineStr">
        <is>
          <t>Fuel Log</t>
        </is>
      </c>
      <c r="C25" s="5" t="inlineStr">
        <is>
          <t>Diesel issued per vehicle.</t>
        </is>
      </c>
    </row>
    <row r="26" ht="30" customHeight="1">
      <c r="B26" s="4" t="inlineStr">
        <is>
          <t>Stock Register</t>
        </is>
      </c>
      <c r="C26" s="5" t="inlineStr">
        <is>
          <t>Opening + received - consumed = closing, per material. Fully automatic.</t>
        </is>
      </c>
    </row>
    <row r="27" ht="30" customHeight="1">
      <c r="B27" s="4" t="inlineStr">
        <is>
          <t>Dashboard</t>
        </is>
      </c>
      <c r="C27" s="5" t="inlineStr">
        <is>
          <t>Live KPIs and charts for the whole plant.</t>
        </is>
      </c>
    </row>
  </sheetData>
  <mergeCells count="5">
    <mergeCell ref="B15:C15"/>
    <mergeCell ref="A1:C1"/>
    <mergeCell ref="B11:C11"/>
    <mergeCell ref="B5:C5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7C948"/>
    <outlinePr summaryBelow="1" summaryRight="1"/>
    <pageSetUpPr/>
  </sheetPr>
  <dimension ref="A1:G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0" customWidth="1" min="3" max="3"/>
    <col width="6" customWidth="1" min="4" max="4"/>
    <col width="16" customWidth="1" min="5" max="5"/>
    <col width="14" customWidth="1" min="6" max="6"/>
    <col width="14" customWidth="1" min="7" max="7"/>
  </cols>
  <sheetData>
    <row r="1" ht="34" customHeight="1">
      <c r="A1" s="1" t="inlineStr">
        <is>
          <t>Dashboard  -  Plant Overview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Live totals across the whole workbook.</t>
        </is>
      </c>
      <c r="B2" s="2" t="n"/>
      <c r="C2" s="2" t="n"/>
      <c r="D2" s="2" t="n"/>
      <c r="E2" s="2" t="n"/>
      <c r="F2" s="2" t="n"/>
      <c r="G2" s="2" t="n"/>
    </row>
    <row r="4" ht="18" customHeight="1">
      <c r="B4" s="8" t="inlineStr">
        <is>
          <t>TOTAL PRODUCTION (m3)</t>
        </is>
      </c>
      <c r="E4" s="8" t="inlineStr">
        <is>
          <t>TOTAL DISPATCHED (m3)</t>
        </is>
      </c>
    </row>
    <row r="5" ht="30" customHeight="1">
      <c r="B5" s="9">
        <f>SUM('Batch Production'!D5:D304)</f>
        <v/>
      </c>
      <c r="E5" s="10">
        <f>SUM('Dispatch (Challan)'!F5:F304)</f>
        <v/>
      </c>
    </row>
    <row r="7" ht="18" customHeight="1">
      <c r="B7" s="8" t="inlineStr">
        <is>
          <t>ORDER BOOK VALUE (₹)</t>
        </is>
      </c>
      <c r="E7" s="8" t="inlineStr">
        <is>
          <t>DISPATCHED VALUE (₹)</t>
        </is>
      </c>
    </row>
    <row r="8" ht="30" customHeight="1">
      <c r="B8" s="11">
        <f>SUM(Orders!H5:H304)</f>
        <v/>
      </c>
      <c r="E8" s="12">
        <f>SUM('Dispatch (Challan)'!J5:J304)</f>
        <v/>
      </c>
    </row>
    <row r="10" ht="18" customHeight="1">
      <c r="B10" s="8" t="inlineStr">
        <is>
          <t>MATERIAL PURCHASE (₹)</t>
        </is>
      </c>
      <c r="E10" s="8" t="inlineStr">
        <is>
          <t>DIESEL USED (ltr)</t>
        </is>
      </c>
    </row>
    <row r="11" ht="30" customHeight="1">
      <c r="B11" s="13">
        <f>SUM('Material Receipt'!F5:F304)</f>
        <v/>
      </c>
      <c r="E11" s="14">
        <f>SUM('Fuel Log'!C5:C304)</f>
        <v/>
      </c>
    </row>
    <row r="14">
      <c r="B14" s="15" t="inlineStr">
        <is>
          <t>PRODUCTION BY GRADE</t>
        </is>
      </c>
    </row>
    <row r="15" ht="30" customHeight="1">
      <c r="A15" s="16" t="n"/>
      <c r="B15" s="17" t="inlineStr">
        <is>
          <t>Grade</t>
        </is>
      </c>
      <c r="C15" s="17" t="inlineStr">
        <is>
          <t>Produced (m3)</t>
        </is>
      </c>
    </row>
    <row r="16">
      <c r="B16" s="18" t="inlineStr">
        <is>
          <t>M15</t>
        </is>
      </c>
      <c r="C16" s="19">
        <f>SUMIF('Batch Production'!$C$5:$C$304,B16,'Batch Production'!$D$5:$D$304)</f>
        <v/>
      </c>
    </row>
    <row r="17">
      <c r="B17" s="18" t="inlineStr">
        <is>
          <t>M20</t>
        </is>
      </c>
      <c r="C17" s="19">
        <f>SUMIF('Batch Production'!$C$5:$C$304,B17,'Batch Production'!$D$5:$D$304)</f>
        <v/>
      </c>
    </row>
    <row r="18">
      <c r="B18" s="18" t="inlineStr">
        <is>
          <t>M25</t>
        </is>
      </c>
      <c r="C18" s="19">
        <f>SUMIF('Batch Production'!$C$5:$C$304,B18,'Batch Production'!$D$5:$D$304)</f>
        <v/>
      </c>
    </row>
    <row r="19">
      <c r="B19" s="18" t="inlineStr">
        <is>
          <t>M30</t>
        </is>
      </c>
      <c r="C19" s="19">
        <f>SUMIF('Batch Production'!$C$5:$C$304,B19,'Batch Production'!$D$5:$D$304)</f>
        <v/>
      </c>
    </row>
    <row r="20">
      <c r="B20" s="18" t="inlineStr">
        <is>
          <t>M35</t>
        </is>
      </c>
      <c r="C20" s="19">
        <f>SUMIF('Batch Production'!$C$5:$C$304,B20,'Batch Production'!$D$5:$D$304)</f>
        <v/>
      </c>
    </row>
    <row r="21">
      <c r="B21" s="18" t="inlineStr">
        <is>
          <t>M40</t>
        </is>
      </c>
      <c r="C21" s="19">
        <f>SUMIF('Batch Production'!$C$5:$C$304,B21,'Batch Production'!$D$5:$D$304)</f>
        <v/>
      </c>
    </row>
    <row r="24">
      <c r="B24" s="15" t="inlineStr">
        <is>
          <t>DISPATCH VOLUME BY CLIENT</t>
        </is>
      </c>
    </row>
    <row r="25" ht="30" customHeight="1">
      <c r="A25" s="17" t="n"/>
      <c r="B25" s="17" t="inlineStr">
        <is>
          <t>Client</t>
        </is>
      </c>
      <c r="C25" s="17" t="inlineStr">
        <is>
          <t>Dispatched (m3)</t>
        </is>
      </c>
    </row>
    <row r="26">
      <c r="B26" s="20">
        <f>IFERROR(INDEX('Setup - Clients'!$A$5:$A$304,1),"")</f>
        <v/>
      </c>
      <c r="C26" s="19">
        <f>IF(B26="","",SUMIF('Dispatch (Challan)'!$D$5:$D$304,B26,'Dispatch (Challan)'!$F$5:$F$304))</f>
        <v/>
      </c>
    </row>
    <row r="27">
      <c r="B27" s="20">
        <f>IFERROR(INDEX('Setup - Clients'!$A$5:$A$304,2),"")</f>
        <v/>
      </c>
      <c r="C27" s="19">
        <f>IF(B27="","",SUMIF('Dispatch (Challan)'!$D$5:$D$304,B27,'Dispatch (Challan)'!$F$5:$F$304))</f>
        <v/>
      </c>
    </row>
    <row r="28">
      <c r="B28" s="20">
        <f>IFERROR(INDEX('Setup - Clients'!$A$5:$A$304,3),"")</f>
        <v/>
      </c>
      <c r="C28" s="19">
        <f>IF(B28="","",SUMIF('Dispatch (Challan)'!$D$5:$D$304,B28,'Dispatch (Challan)'!$F$5:$F$304))</f>
        <v/>
      </c>
    </row>
    <row r="29">
      <c r="B29" s="20">
        <f>IFERROR(INDEX('Setup - Clients'!$A$5:$A$304,4),"")</f>
        <v/>
      </c>
      <c r="C29" s="19">
        <f>IF(B29="","",SUMIF('Dispatch (Challan)'!$D$5:$D$304,B29,'Dispatch (Challan)'!$F$5:$F$304))</f>
        <v/>
      </c>
    </row>
    <row r="30">
      <c r="B30" s="20">
        <f>IFERROR(INDEX('Setup - Clients'!$A$5:$A$304,5),"")</f>
        <v/>
      </c>
      <c r="C30" s="19">
        <f>IF(B30="","",SUMIF('Dispatch (Challan)'!$D$5:$D$304,B30,'Dispatch (Challan)'!$F$5:$F$304))</f>
        <v/>
      </c>
    </row>
    <row r="31">
      <c r="B31" s="20">
        <f>IFERROR(INDEX('Setup - Clients'!$A$5:$A$304,6),"")</f>
        <v/>
      </c>
      <c r="C31" s="19">
        <f>IF(B31="","",SUMIF('Dispatch (Challan)'!$D$5:$D$304,B31,'Dispatch (Challan)'!$F$5:$F$304))</f>
        <v/>
      </c>
    </row>
    <row r="32">
      <c r="B32" s="20">
        <f>IFERROR(INDEX('Setup - Clients'!$A$5:$A$304,7),"")</f>
        <v/>
      </c>
      <c r="C32" s="19">
        <f>IF(B32="","",SUMIF('Dispatch (Challan)'!$D$5:$D$304,B32,'Dispatch (Challan)'!$F$5:$F$304))</f>
        <v/>
      </c>
    </row>
    <row r="33">
      <c r="B33" s="20">
        <f>IFERROR(INDEX('Setup - Clients'!$A$5:$A$304,8),"")</f>
        <v/>
      </c>
      <c r="C33" s="19">
        <f>IF(B33="","",SUMIF('Dispatch (Challan)'!$D$5:$D$304,B33,'Dispatch (Challan)'!$F$5:$F$304))</f>
        <v/>
      </c>
    </row>
  </sheetData>
  <mergeCells count="14">
    <mergeCell ref="E4:F4"/>
    <mergeCell ref="A1:G1"/>
    <mergeCell ref="B7:C7"/>
    <mergeCell ref="B11:C11"/>
    <mergeCell ref="E7:F7"/>
    <mergeCell ref="E10:F10"/>
    <mergeCell ref="B5:C5"/>
    <mergeCell ref="E8:F8"/>
    <mergeCell ref="B10:C10"/>
    <mergeCell ref="E11:F11"/>
    <mergeCell ref="E5:F5"/>
    <mergeCell ref="A2:G2"/>
    <mergeCell ref="B8:C8"/>
    <mergeCell ref="B4:C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5B6B86"/>
    <outlinePr summaryBelow="1" summaryRight="1"/>
    <pageSetUpPr/>
  </sheetPr>
  <dimension ref="A1:E3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6" customWidth="1" min="3" max="3"/>
    <col width="20" customWidth="1" min="4" max="4"/>
    <col width="40" customWidth="1" min="5" max="5"/>
  </cols>
  <sheetData>
    <row r="1" ht="34" customHeight="1">
      <c r="A1" s="1" t="inlineStr">
        <is>
          <t>Setup  -  Clients</t>
        </is>
      </c>
      <c r="B1" s="2" t="n"/>
      <c r="C1" s="2" t="n"/>
      <c r="D1" s="2" t="n"/>
      <c r="E1" s="2" t="n"/>
    </row>
    <row r="2" ht="18" customHeight="1">
      <c r="A2" s="3" t="inlineStr">
        <is>
          <t>Customer master. Add every client once; orders &amp; challans pick from here.</t>
        </is>
      </c>
      <c r="B2" s="2" t="n"/>
      <c r="C2" s="2" t="n"/>
      <c r="D2" s="2" t="n"/>
      <c r="E2" s="2" t="n"/>
    </row>
    <row r="4" ht="30" customHeight="1">
      <c r="A4" s="17" t="inlineStr">
        <is>
          <t>Client / Company Name</t>
        </is>
      </c>
      <c r="B4" s="17" t="inlineStr">
        <is>
          <t>Contact Person</t>
        </is>
      </c>
      <c r="C4" s="17" t="inlineStr">
        <is>
          <t>Phone</t>
        </is>
      </c>
      <c r="D4" s="17" t="inlineStr">
        <is>
          <t>GST No.</t>
        </is>
      </c>
      <c r="E4" s="17" t="inlineStr">
        <is>
          <t>Billing Address</t>
        </is>
      </c>
    </row>
    <row r="5">
      <c r="A5" s="21" t="inlineStr">
        <is>
          <t>Skyline Builders Pvt Ltd</t>
        </is>
      </c>
      <c r="B5" s="21" t="inlineStr">
        <is>
          <t>R. Mehta</t>
        </is>
      </c>
      <c r="C5" s="21" t="inlineStr">
        <is>
          <t>9876543210</t>
        </is>
      </c>
      <c r="D5" s="21" t="inlineStr">
        <is>
          <t>27AABCS1234A1Z5</t>
        </is>
      </c>
      <c r="E5" s="21" t="inlineStr">
        <is>
          <t>Plot 14, MIDC, Pune</t>
        </is>
      </c>
    </row>
    <row r="6">
      <c r="A6" s="21" t="inlineStr">
        <is>
          <t>Greenfield Infra</t>
        </is>
      </c>
      <c r="B6" s="21" t="inlineStr">
        <is>
          <t>S. Kulkarni</t>
        </is>
      </c>
      <c r="C6" s="21" t="inlineStr">
        <is>
          <t>9822011223</t>
        </is>
      </c>
      <c r="D6" s="21" t="inlineStr">
        <is>
          <t>27AAFCG5678B1Z2</t>
        </is>
      </c>
      <c r="E6" s="21" t="inlineStr">
        <is>
          <t>Hinjewadi Phase 2, Pune</t>
        </is>
      </c>
    </row>
    <row r="7">
      <c r="A7" s="21" t="inlineStr">
        <is>
          <t>Metro Constructions</t>
        </is>
      </c>
      <c r="B7" s="21" t="inlineStr">
        <is>
          <t>A. Shaikh</t>
        </is>
      </c>
      <c r="C7" s="21" t="inlineStr">
        <is>
          <t>9890098900</t>
        </is>
      </c>
      <c r="D7" s="21" t="inlineStr">
        <is>
          <t>27AADCM4321C1Z9</t>
        </is>
      </c>
      <c r="E7" s="21" t="inlineStr">
        <is>
          <t>Wakad, Pune</t>
        </is>
      </c>
    </row>
    <row r="8">
      <c r="A8" s="21" t="n"/>
      <c r="B8" s="21" t="n"/>
      <c r="C8" s="21" t="n"/>
      <c r="D8" s="21" t="n"/>
      <c r="E8" s="21" t="n"/>
    </row>
    <row r="9">
      <c r="A9" s="21" t="n"/>
      <c r="B9" s="21" t="n"/>
      <c r="C9" s="21" t="n"/>
      <c r="D9" s="21" t="n"/>
      <c r="E9" s="21" t="n"/>
    </row>
    <row r="10">
      <c r="A10" s="21" t="n"/>
      <c r="B10" s="21" t="n"/>
      <c r="C10" s="21" t="n"/>
      <c r="D10" s="21" t="n"/>
      <c r="E10" s="21" t="n"/>
    </row>
    <row r="11">
      <c r="A11" s="21" t="n"/>
      <c r="B11" s="21" t="n"/>
      <c r="C11" s="21" t="n"/>
      <c r="D11" s="21" t="n"/>
      <c r="E11" s="21" t="n"/>
    </row>
    <row r="12">
      <c r="A12" s="21" t="n"/>
      <c r="B12" s="21" t="n"/>
      <c r="C12" s="21" t="n"/>
      <c r="D12" s="21" t="n"/>
      <c r="E12" s="21" t="n"/>
    </row>
    <row r="13">
      <c r="A13" s="21" t="n"/>
      <c r="B13" s="21" t="n"/>
      <c r="C13" s="21" t="n"/>
      <c r="D13" s="21" t="n"/>
      <c r="E13" s="21" t="n"/>
    </row>
    <row r="14">
      <c r="A14" s="21" t="n"/>
      <c r="B14" s="21" t="n"/>
      <c r="C14" s="21" t="n"/>
      <c r="D14" s="21" t="n"/>
      <c r="E14" s="21" t="n"/>
    </row>
    <row r="15">
      <c r="A15" s="21" t="n"/>
      <c r="B15" s="21" t="n"/>
      <c r="C15" s="21" t="n"/>
      <c r="D15" s="21" t="n"/>
      <c r="E15" s="21" t="n"/>
    </row>
    <row r="16">
      <c r="A16" s="21" t="n"/>
      <c r="B16" s="21" t="n"/>
      <c r="C16" s="21" t="n"/>
      <c r="D16" s="21" t="n"/>
      <c r="E16" s="21" t="n"/>
    </row>
    <row r="17">
      <c r="A17" s="21" t="n"/>
      <c r="B17" s="21" t="n"/>
      <c r="C17" s="21" t="n"/>
      <c r="D17" s="21" t="n"/>
      <c r="E17" s="21" t="n"/>
    </row>
    <row r="18">
      <c r="A18" s="21" t="n"/>
      <c r="B18" s="21" t="n"/>
      <c r="C18" s="21" t="n"/>
      <c r="D18" s="21" t="n"/>
      <c r="E18" s="21" t="n"/>
    </row>
    <row r="19">
      <c r="A19" s="21" t="n"/>
      <c r="B19" s="21" t="n"/>
      <c r="C19" s="21" t="n"/>
      <c r="D19" s="21" t="n"/>
      <c r="E19" s="21" t="n"/>
    </row>
    <row r="20">
      <c r="A20" s="21" t="n"/>
      <c r="B20" s="21" t="n"/>
      <c r="C20" s="21" t="n"/>
      <c r="D20" s="21" t="n"/>
      <c r="E20" s="21" t="n"/>
    </row>
    <row r="21">
      <c r="A21" s="21" t="n"/>
      <c r="B21" s="21" t="n"/>
      <c r="C21" s="21" t="n"/>
      <c r="D21" s="21" t="n"/>
      <c r="E21" s="21" t="n"/>
    </row>
    <row r="22">
      <c r="A22" s="21" t="n"/>
      <c r="B22" s="21" t="n"/>
      <c r="C22" s="21" t="n"/>
      <c r="D22" s="21" t="n"/>
      <c r="E22" s="21" t="n"/>
    </row>
    <row r="23">
      <c r="A23" s="21" t="n"/>
      <c r="B23" s="21" t="n"/>
      <c r="C23" s="21" t="n"/>
      <c r="D23" s="21" t="n"/>
      <c r="E23" s="21" t="n"/>
    </row>
    <row r="24">
      <c r="A24" s="21" t="n"/>
      <c r="B24" s="21" t="n"/>
      <c r="C24" s="21" t="n"/>
      <c r="D24" s="21" t="n"/>
      <c r="E24" s="21" t="n"/>
    </row>
    <row r="25">
      <c r="A25" s="21" t="n"/>
      <c r="B25" s="21" t="n"/>
      <c r="C25" s="21" t="n"/>
      <c r="D25" s="21" t="n"/>
      <c r="E25" s="21" t="n"/>
    </row>
    <row r="26">
      <c r="A26" s="21" t="n"/>
      <c r="B26" s="21" t="n"/>
      <c r="C26" s="21" t="n"/>
      <c r="D26" s="21" t="n"/>
      <c r="E26" s="21" t="n"/>
    </row>
    <row r="27">
      <c r="A27" s="21" t="n"/>
      <c r="B27" s="21" t="n"/>
      <c r="C27" s="21" t="n"/>
      <c r="D27" s="21" t="n"/>
      <c r="E27" s="21" t="n"/>
    </row>
    <row r="28">
      <c r="A28" s="21" t="n"/>
      <c r="B28" s="21" t="n"/>
      <c r="C28" s="21" t="n"/>
      <c r="D28" s="21" t="n"/>
      <c r="E28" s="21" t="n"/>
    </row>
    <row r="29">
      <c r="A29" s="21" t="n"/>
      <c r="B29" s="21" t="n"/>
      <c r="C29" s="21" t="n"/>
      <c r="D29" s="21" t="n"/>
      <c r="E29" s="21" t="n"/>
    </row>
    <row r="30">
      <c r="A30" s="21" t="n"/>
      <c r="B30" s="21" t="n"/>
      <c r="C30" s="21" t="n"/>
      <c r="D30" s="21" t="n"/>
      <c r="E30" s="21" t="n"/>
    </row>
    <row r="31">
      <c r="A31" s="21" t="n"/>
      <c r="B31" s="21" t="n"/>
      <c r="C31" s="21" t="n"/>
      <c r="D31" s="21" t="n"/>
      <c r="E31" s="21" t="n"/>
    </row>
    <row r="32">
      <c r="A32" s="21" t="n"/>
      <c r="B32" s="21" t="n"/>
      <c r="C32" s="21" t="n"/>
      <c r="D32" s="21" t="n"/>
      <c r="E32" s="21" t="n"/>
    </row>
    <row r="33">
      <c r="A33" s="21" t="n"/>
      <c r="B33" s="21" t="n"/>
      <c r="C33" s="21" t="n"/>
      <c r="D33" s="21" t="n"/>
      <c r="E33" s="21" t="n"/>
    </row>
    <row r="34">
      <c r="A34" s="21" t="n"/>
      <c r="B34" s="21" t="n"/>
      <c r="C34" s="21" t="n"/>
      <c r="D34" s="21" t="n"/>
      <c r="E34" s="21" t="n"/>
    </row>
    <row r="35">
      <c r="A35" s="21" t="n"/>
      <c r="B35" s="21" t="n"/>
      <c r="C35" s="21" t="n"/>
      <c r="D35" s="21" t="n"/>
      <c r="E35" s="21" t="n"/>
    </row>
    <row r="36">
      <c r="A36" s="21" t="n"/>
      <c r="B36" s="21" t="n"/>
      <c r="C36" s="21" t="n"/>
      <c r="D36" s="21" t="n"/>
      <c r="E36" s="21" t="n"/>
    </row>
    <row r="37">
      <c r="A37" s="21" t="n"/>
      <c r="B37" s="21" t="n"/>
      <c r="C37" s="21" t="n"/>
      <c r="D37" s="21" t="n"/>
      <c r="E37" s="21" t="n"/>
    </row>
    <row r="38">
      <c r="A38" s="21" t="n"/>
      <c r="B38" s="21" t="n"/>
      <c r="C38" s="21" t="n"/>
      <c r="D38" s="21" t="n"/>
      <c r="E38" s="21" t="n"/>
    </row>
    <row r="39">
      <c r="A39" s="21" t="n"/>
      <c r="B39" s="21" t="n"/>
      <c r="C39" s="21" t="n"/>
      <c r="D39" s="21" t="n"/>
      <c r="E39" s="21" t="n"/>
    </row>
    <row r="40">
      <c r="A40" s="21" t="n"/>
      <c r="B40" s="21" t="n"/>
      <c r="C40" s="21" t="n"/>
      <c r="D40" s="21" t="n"/>
      <c r="E40" s="21" t="n"/>
    </row>
    <row r="41">
      <c r="A41" s="21" t="n"/>
      <c r="B41" s="21" t="n"/>
      <c r="C41" s="21" t="n"/>
      <c r="D41" s="21" t="n"/>
      <c r="E41" s="21" t="n"/>
    </row>
    <row r="42">
      <c r="A42" s="21" t="n"/>
      <c r="B42" s="21" t="n"/>
      <c r="C42" s="21" t="n"/>
      <c r="D42" s="21" t="n"/>
      <c r="E42" s="21" t="n"/>
    </row>
    <row r="43">
      <c r="A43" s="21" t="n"/>
      <c r="B43" s="21" t="n"/>
      <c r="C43" s="21" t="n"/>
      <c r="D43" s="21" t="n"/>
      <c r="E43" s="21" t="n"/>
    </row>
    <row r="44">
      <c r="A44" s="21" t="n"/>
      <c r="B44" s="21" t="n"/>
      <c r="C44" s="21" t="n"/>
      <c r="D44" s="21" t="n"/>
      <c r="E44" s="21" t="n"/>
    </row>
    <row r="45">
      <c r="A45" s="21" t="n"/>
      <c r="B45" s="21" t="n"/>
      <c r="C45" s="21" t="n"/>
      <c r="D45" s="21" t="n"/>
      <c r="E45" s="21" t="n"/>
    </row>
    <row r="46">
      <c r="A46" s="21" t="n"/>
      <c r="B46" s="21" t="n"/>
      <c r="C46" s="21" t="n"/>
      <c r="D46" s="21" t="n"/>
      <c r="E46" s="21" t="n"/>
    </row>
    <row r="47">
      <c r="A47" s="21" t="n"/>
      <c r="B47" s="21" t="n"/>
      <c r="C47" s="21" t="n"/>
      <c r="D47" s="21" t="n"/>
      <c r="E47" s="21" t="n"/>
    </row>
    <row r="48">
      <c r="A48" s="21" t="n"/>
      <c r="B48" s="21" t="n"/>
      <c r="C48" s="21" t="n"/>
      <c r="D48" s="21" t="n"/>
      <c r="E48" s="21" t="n"/>
    </row>
    <row r="49">
      <c r="A49" s="21" t="n"/>
      <c r="B49" s="21" t="n"/>
      <c r="C49" s="21" t="n"/>
      <c r="D49" s="21" t="n"/>
      <c r="E49" s="21" t="n"/>
    </row>
    <row r="50">
      <c r="A50" s="21" t="n"/>
      <c r="B50" s="21" t="n"/>
      <c r="C50" s="21" t="n"/>
      <c r="D50" s="21" t="n"/>
      <c r="E50" s="21" t="n"/>
    </row>
    <row r="51">
      <c r="A51" s="21" t="n"/>
      <c r="B51" s="21" t="n"/>
      <c r="C51" s="21" t="n"/>
      <c r="D51" s="21" t="n"/>
      <c r="E51" s="21" t="n"/>
    </row>
    <row r="52">
      <c r="A52" s="21" t="n"/>
      <c r="B52" s="21" t="n"/>
      <c r="C52" s="21" t="n"/>
      <c r="D52" s="21" t="n"/>
      <c r="E52" s="21" t="n"/>
    </row>
    <row r="53">
      <c r="A53" s="21" t="n"/>
      <c r="B53" s="21" t="n"/>
      <c r="C53" s="21" t="n"/>
      <c r="D53" s="21" t="n"/>
      <c r="E53" s="21" t="n"/>
    </row>
    <row r="54">
      <c r="A54" s="21" t="n"/>
      <c r="B54" s="21" t="n"/>
      <c r="C54" s="21" t="n"/>
      <c r="D54" s="21" t="n"/>
      <c r="E54" s="21" t="n"/>
    </row>
    <row r="55">
      <c r="A55" s="21" t="n"/>
      <c r="B55" s="21" t="n"/>
      <c r="C55" s="21" t="n"/>
      <c r="D55" s="21" t="n"/>
      <c r="E55" s="21" t="n"/>
    </row>
    <row r="56">
      <c r="A56" s="21" t="n"/>
      <c r="B56" s="21" t="n"/>
      <c r="C56" s="21" t="n"/>
      <c r="D56" s="21" t="n"/>
      <c r="E56" s="21" t="n"/>
    </row>
    <row r="57">
      <c r="A57" s="21" t="n"/>
      <c r="B57" s="21" t="n"/>
      <c r="C57" s="21" t="n"/>
      <c r="D57" s="21" t="n"/>
      <c r="E57" s="21" t="n"/>
    </row>
    <row r="58">
      <c r="A58" s="21" t="n"/>
      <c r="B58" s="21" t="n"/>
      <c r="C58" s="21" t="n"/>
      <c r="D58" s="21" t="n"/>
      <c r="E58" s="21" t="n"/>
    </row>
    <row r="59">
      <c r="A59" s="21" t="n"/>
      <c r="B59" s="21" t="n"/>
      <c r="C59" s="21" t="n"/>
      <c r="D59" s="21" t="n"/>
      <c r="E59" s="21" t="n"/>
    </row>
    <row r="60">
      <c r="A60" s="21" t="n"/>
      <c r="B60" s="21" t="n"/>
      <c r="C60" s="21" t="n"/>
      <c r="D60" s="21" t="n"/>
      <c r="E60" s="21" t="n"/>
    </row>
    <row r="61">
      <c r="A61" s="21" t="n"/>
      <c r="B61" s="21" t="n"/>
      <c r="C61" s="21" t="n"/>
      <c r="D61" s="21" t="n"/>
      <c r="E61" s="21" t="n"/>
    </row>
    <row r="62">
      <c r="A62" s="21" t="n"/>
      <c r="B62" s="21" t="n"/>
      <c r="C62" s="21" t="n"/>
      <c r="D62" s="21" t="n"/>
      <c r="E62" s="21" t="n"/>
    </row>
    <row r="63">
      <c r="A63" s="21" t="n"/>
      <c r="B63" s="21" t="n"/>
      <c r="C63" s="21" t="n"/>
      <c r="D63" s="21" t="n"/>
      <c r="E63" s="21" t="n"/>
    </row>
    <row r="64">
      <c r="A64" s="21" t="n"/>
      <c r="B64" s="21" t="n"/>
      <c r="C64" s="21" t="n"/>
      <c r="D64" s="21" t="n"/>
      <c r="E64" s="21" t="n"/>
    </row>
    <row r="65">
      <c r="A65" s="21" t="n"/>
      <c r="B65" s="21" t="n"/>
      <c r="C65" s="21" t="n"/>
      <c r="D65" s="21" t="n"/>
      <c r="E65" s="21" t="n"/>
    </row>
    <row r="66">
      <c r="A66" s="21" t="n"/>
      <c r="B66" s="21" t="n"/>
      <c r="C66" s="21" t="n"/>
      <c r="D66" s="21" t="n"/>
      <c r="E66" s="21" t="n"/>
    </row>
    <row r="67">
      <c r="A67" s="21" t="n"/>
      <c r="B67" s="21" t="n"/>
      <c r="C67" s="21" t="n"/>
      <c r="D67" s="21" t="n"/>
      <c r="E67" s="21" t="n"/>
    </row>
    <row r="68">
      <c r="A68" s="21" t="n"/>
      <c r="B68" s="21" t="n"/>
      <c r="C68" s="21" t="n"/>
      <c r="D68" s="21" t="n"/>
      <c r="E68" s="21" t="n"/>
    </row>
    <row r="69">
      <c r="A69" s="21" t="n"/>
      <c r="B69" s="21" t="n"/>
      <c r="C69" s="21" t="n"/>
      <c r="D69" s="21" t="n"/>
      <c r="E69" s="21" t="n"/>
    </row>
    <row r="70">
      <c r="A70" s="21" t="n"/>
      <c r="B70" s="21" t="n"/>
      <c r="C70" s="21" t="n"/>
      <c r="D70" s="21" t="n"/>
      <c r="E70" s="21" t="n"/>
    </row>
    <row r="71">
      <c r="A71" s="21" t="n"/>
      <c r="B71" s="21" t="n"/>
      <c r="C71" s="21" t="n"/>
      <c r="D71" s="21" t="n"/>
      <c r="E71" s="21" t="n"/>
    </row>
    <row r="72">
      <c r="A72" s="21" t="n"/>
      <c r="B72" s="21" t="n"/>
      <c r="C72" s="21" t="n"/>
      <c r="D72" s="21" t="n"/>
      <c r="E72" s="21" t="n"/>
    </row>
    <row r="73">
      <c r="A73" s="21" t="n"/>
      <c r="B73" s="21" t="n"/>
      <c r="C73" s="21" t="n"/>
      <c r="D73" s="21" t="n"/>
      <c r="E73" s="21" t="n"/>
    </row>
    <row r="74">
      <c r="A74" s="21" t="n"/>
      <c r="B74" s="21" t="n"/>
      <c r="C74" s="21" t="n"/>
      <c r="D74" s="21" t="n"/>
      <c r="E74" s="21" t="n"/>
    </row>
    <row r="75">
      <c r="A75" s="21" t="n"/>
      <c r="B75" s="21" t="n"/>
      <c r="C75" s="21" t="n"/>
      <c r="D75" s="21" t="n"/>
      <c r="E75" s="21" t="n"/>
    </row>
    <row r="76">
      <c r="A76" s="21" t="n"/>
      <c r="B76" s="21" t="n"/>
      <c r="C76" s="21" t="n"/>
      <c r="D76" s="21" t="n"/>
      <c r="E76" s="21" t="n"/>
    </row>
    <row r="77">
      <c r="A77" s="21" t="n"/>
      <c r="B77" s="21" t="n"/>
      <c r="C77" s="21" t="n"/>
      <c r="D77" s="21" t="n"/>
      <c r="E77" s="21" t="n"/>
    </row>
    <row r="78">
      <c r="A78" s="21" t="n"/>
      <c r="B78" s="21" t="n"/>
      <c r="C78" s="21" t="n"/>
      <c r="D78" s="21" t="n"/>
      <c r="E78" s="21" t="n"/>
    </row>
    <row r="79">
      <c r="A79" s="21" t="n"/>
      <c r="B79" s="21" t="n"/>
      <c r="C79" s="21" t="n"/>
      <c r="D79" s="21" t="n"/>
      <c r="E79" s="21" t="n"/>
    </row>
    <row r="80">
      <c r="A80" s="21" t="n"/>
      <c r="B80" s="21" t="n"/>
      <c r="C80" s="21" t="n"/>
      <c r="D80" s="21" t="n"/>
      <c r="E80" s="21" t="n"/>
    </row>
    <row r="81">
      <c r="A81" s="21" t="n"/>
      <c r="B81" s="21" t="n"/>
      <c r="C81" s="21" t="n"/>
      <c r="D81" s="21" t="n"/>
      <c r="E81" s="21" t="n"/>
    </row>
    <row r="82">
      <c r="A82" s="21" t="n"/>
      <c r="B82" s="21" t="n"/>
      <c r="C82" s="21" t="n"/>
      <c r="D82" s="21" t="n"/>
      <c r="E82" s="21" t="n"/>
    </row>
    <row r="83">
      <c r="A83" s="21" t="n"/>
      <c r="B83" s="21" t="n"/>
      <c r="C83" s="21" t="n"/>
      <c r="D83" s="21" t="n"/>
      <c r="E83" s="21" t="n"/>
    </row>
    <row r="84">
      <c r="A84" s="21" t="n"/>
      <c r="B84" s="21" t="n"/>
      <c r="C84" s="21" t="n"/>
      <c r="D84" s="21" t="n"/>
      <c r="E84" s="21" t="n"/>
    </row>
    <row r="85">
      <c r="A85" s="21" t="n"/>
      <c r="B85" s="21" t="n"/>
      <c r="C85" s="21" t="n"/>
      <c r="D85" s="21" t="n"/>
      <c r="E85" s="21" t="n"/>
    </row>
    <row r="86">
      <c r="A86" s="21" t="n"/>
      <c r="B86" s="21" t="n"/>
      <c r="C86" s="21" t="n"/>
      <c r="D86" s="21" t="n"/>
      <c r="E86" s="21" t="n"/>
    </row>
    <row r="87">
      <c r="A87" s="21" t="n"/>
      <c r="B87" s="21" t="n"/>
      <c r="C87" s="21" t="n"/>
      <c r="D87" s="21" t="n"/>
      <c r="E87" s="21" t="n"/>
    </row>
    <row r="88">
      <c r="A88" s="21" t="n"/>
      <c r="B88" s="21" t="n"/>
      <c r="C88" s="21" t="n"/>
      <c r="D88" s="21" t="n"/>
      <c r="E88" s="21" t="n"/>
    </row>
    <row r="89">
      <c r="A89" s="21" t="n"/>
      <c r="B89" s="21" t="n"/>
      <c r="C89" s="21" t="n"/>
      <c r="D89" s="21" t="n"/>
      <c r="E89" s="21" t="n"/>
    </row>
    <row r="90">
      <c r="A90" s="21" t="n"/>
      <c r="B90" s="21" t="n"/>
      <c r="C90" s="21" t="n"/>
      <c r="D90" s="21" t="n"/>
      <c r="E90" s="21" t="n"/>
    </row>
    <row r="91">
      <c r="A91" s="21" t="n"/>
      <c r="B91" s="21" t="n"/>
      <c r="C91" s="21" t="n"/>
      <c r="D91" s="21" t="n"/>
      <c r="E91" s="21" t="n"/>
    </row>
    <row r="92">
      <c r="A92" s="21" t="n"/>
      <c r="B92" s="21" t="n"/>
      <c r="C92" s="21" t="n"/>
      <c r="D92" s="21" t="n"/>
      <c r="E92" s="21" t="n"/>
    </row>
    <row r="93">
      <c r="A93" s="21" t="n"/>
      <c r="B93" s="21" t="n"/>
      <c r="C93" s="21" t="n"/>
      <c r="D93" s="21" t="n"/>
      <c r="E93" s="21" t="n"/>
    </row>
    <row r="94">
      <c r="A94" s="21" t="n"/>
      <c r="B94" s="21" t="n"/>
      <c r="C94" s="21" t="n"/>
      <c r="D94" s="21" t="n"/>
      <c r="E94" s="21" t="n"/>
    </row>
    <row r="95">
      <c r="A95" s="21" t="n"/>
      <c r="B95" s="21" t="n"/>
      <c r="C95" s="21" t="n"/>
      <c r="D95" s="21" t="n"/>
      <c r="E95" s="21" t="n"/>
    </row>
    <row r="96">
      <c r="A96" s="21" t="n"/>
      <c r="B96" s="21" t="n"/>
      <c r="C96" s="21" t="n"/>
      <c r="D96" s="21" t="n"/>
      <c r="E96" s="21" t="n"/>
    </row>
    <row r="97">
      <c r="A97" s="21" t="n"/>
      <c r="B97" s="21" t="n"/>
      <c r="C97" s="21" t="n"/>
      <c r="D97" s="21" t="n"/>
      <c r="E97" s="21" t="n"/>
    </row>
    <row r="98">
      <c r="A98" s="21" t="n"/>
      <c r="B98" s="21" t="n"/>
      <c r="C98" s="21" t="n"/>
      <c r="D98" s="21" t="n"/>
      <c r="E98" s="21" t="n"/>
    </row>
    <row r="99">
      <c r="A99" s="21" t="n"/>
      <c r="B99" s="21" t="n"/>
      <c r="C99" s="21" t="n"/>
      <c r="D99" s="21" t="n"/>
      <c r="E99" s="21" t="n"/>
    </row>
    <row r="100">
      <c r="A100" s="21" t="n"/>
      <c r="B100" s="21" t="n"/>
      <c r="C100" s="21" t="n"/>
      <c r="D100" s="21" t="n"/>
      <c r="E100" s="21" t="n"/>
    </row>
    <row r="101">
      <c r="A101" s="21" t="n"/>
      <c r="B101" s="21" t="n"/>
      <c r="C101" s="21" t="n"/>
      <c r="D101" s="21" t="n"/>
      <c r="E101" s="21" t="n"/>
    </row>
    <row r="102">
      <c r="A102" s="21" t="n"/>
      <c r="B102" s="21" t="n"/>
      <c r="C102" s="21" t="n"/>
      <c r="D102" s="21" t="n"/>
      <c r="E102" s="21" t="n"/>
    </row>
    <row r="103">
      <c r="A103" s="21" t="n"/>
      <c r="B103" s="21" t="n"/>
      <c r="C103" s="21" t="n"/>
      <c r="D103" s="21" t="n"/>
      <c r="E103" s="21" t="n"/>
    </row>
    <row r="104">
      <c r="A104" s="21" t="n"/>
      <c r="B104" s="21" t="n"/>
      <c r="C104" s="21" t="n"/>
      <c r="D104" s="21" t="n"/>
      <c r="E104" s="21" t="n"/>
    </row>
    <row r="105">
      <c r="A105" s="21" t="n"/>
      <c r="B105" s="21" t="n"/>
      <c r="C105" s="21" t="n"/>
      <c r="D105" s="21" t="n"/>
      <c r="E105" s="21" t="n"/>
    </row>
    <row r="106">
      <c r="A106" s="21" t="n"/>
      <c r="B106" s="21" t="n"/>
      <c r="C106" s="21" t="n"/>
      <c r="D106" s="21" t="n"/>
      <c r="E106" s="21" t="n"/>
    </row>
    <row r="107">
      <c r="A107" s="21" t="n"/>
      <c r="B107" s="21" t="n"/>
      <c r="C107" s="21" t="n"/>
      <c r="D107" s="21" t="n"/>
      <c r="E107" s="21" t="n"/>
    </row>
    <row r="108">
      <c r="A108" s="21" t="n"/>
      <c r="B108" s="21" t="n"/>
      <c r="C108" s="21" t="n"/>
      <c r="D108" s="21" t="n"/>
      <c r="E108" s="21" t="n"/>
    </row>
    <row r="109">
      <c r="A109" s="21" t="n"/>
      <c r="B109" s="21" t="n"/>
      <c r="C109" s="21" t="n"/>
      <c r="D109" s="21" t="n"/>
      <c r="E109" s="21" t="n"/>
    </row>
    <row r="110">
      <c r="A110" s="21" t="n"/>
      <c r="B110" s="21" t="n"/>
      <c r="C110" s="21" t="n"/>
      <c r="D110" s="21" t="n"/>
      <c r="E110" s="21" t="n"/>
    </row>
    <row r="111">
      <c r="A111" s="21" t="n"/>
      <c r="B111" s="21" t="n"/>
      <c r="C111" s="21" t="n"/>
      <c r="D111" s="21" t="n"/>
      <c r="E111" s="21" t="n"/>
    </row>
    <row r="112">
      <c r="A112" s="21" t="n"/>
      <c r="B112" s="21" t="n"/>
      <c r="C112" s="21" t="n"/>
      <c r="D112" s="21" t="n"/>
      <c r="E112" s="21" t="n"/>
    </row>
    <row r="113">
      <c r="A113" s="21" t="n"/>
      <c r="B113" s="21" t="n"/>
      <c r="C113" s="21" t="n"/>
      <c r="D113" s="21" t="n"/>
      <c r="E113" s="21" t="n"/>
    </row>
    <row r="114">
      <c r="A114" s="21" t="n"/>
      <c r="B114" s="21" t="n"/>
      <c r="C114" s="21" t="n"/>
      <c r="D114" s="21" t="n"/>
      <c r="E114" s="21" t="n"/>
    </row>
    <row r="115">
      <c r="A115" s="21" t="n"/>
      <c r="B115" s="21" t="n"/>
      <c r="C115" s="21" t="n"/>
      <c r="D115" s="21" t="n"/>
      <c r="E115" s="21" t="n"/>
    </row>
    <row r="116">
      <c r="A116" s="21" t="n"/>
      <c r="B116" s="21" t="n"/>
      <c r="C116" s="21" t="n"/>
      <c r="D116" s="21" t="n"/>
      <c r="E116" s="21" t="n"/>
    </row>
    <row r="117">
      <c r="A117" s="21" t="n"/>
      <c r="B117" s="21" t="n"/>
      <c r="C117" s="21" t="n"/>
      <c r="D117" s="21" t="n"/>
      <c r="E117" s="21" t="n"/>
    </row>
    <row r="118">
      <c r="A118" s="21" t="n"/>
      <c r="B118" s="21" t="n"/>
      <c r="C118" s="21" t="n"/>
      <c r="D118" s="21" t="n"/>
      <c r="E118" s="21" t="n"/>
    </row>
    <row r="119">
      <c r="A119" s="21" t="n"/>
      <c r="B119" s="21" t="n"/>
      <c r="C119" s="21" t="n"/>
      <c r="D119" s="21" t="n"/>
      <c r="E119" s="21" t="n"/>
    </row>
    <row r="120">
      <c r="A120" s="21" t="n"/>
      <c r="B120" s="21" t="n"/>
      <c r="C120" s="21" t="n"/>
      <c r="D120" s="21" t="n"/>
      <c r="E120" s="21" t="n"/>
    </row>
    <row r="121">
      <c r="A121" s="21" t="n"/>
      <c r="B121" s="21" t="n"/>
      <c r="C121" s="21" t="n"/>
      <c r="D121" s="21" t="n"/>
      <c r="E121" s="21" t="n"/>
    </row>
    <row r="122">
      <c r="A122" s="21" t="n"/>
      <c r="B122" s="21" t="n"/>
      <c r="C122" s="21" t="n"/>
      <c r="D122" s="21" t="n"/>
      <c r="E122" s="21" t="n"/>
    </row>
    <row r="123">
      <c r="A123" s="21" t="n"/>
      <c r="B123" s="21" t="n"/>
      <c r="C123" s="21" t="n"/>
      <c r="D123" s="21" t="n"/>
      <c r="E123" s="21" t="n"/>
    </row>
    <row r="124">
      <c r="A124" s="21" t="n"/>
      <c r="B124" s="21" t="n"/>
      <c r="C124" s="21" t="n"/>
      <c r="D124" s="21" t="n"/>
      <c r="E124" s="21" t="n"/>
    </row>
    <row r="125">
      <c r="A125" s="21" t="n"/>
      <c r="B125" s="21" t="n"/>
      <c r="C125" s="21" t="n"/>
      <c r="D125" s="21" t="n"/>
      <c r="E125" s="21" t="n"/>
    </row>
    <row r="126">
      <c r="A126" s="21" t="n"/>
      <c r="B126" s="21" t="n"/>
      <c r="C126" s="21" t="n"/>
      <c r="D126" s="21" t="n"/>
      <c r="E126" s="21" t="n"/>
    </row>
    <row r="127">
      <c r="A127" s="21" t="n"/>
      <c r="B127" s="21" t="n"/>
      <c r="C127" s="21" t="n"/>
      <c r="D127" s="21" t="n"/>
      <c r="E127" s="21" t="n"/>
    </row>
    <row r="128">
      <c r="A128" s="21" t="n"/>
      <c r="B128" s="21" t="n"/>
      <c r="C128" s="21" t="n"/>
      <c r="D128" s="21" t="n"/>
      <c r="E128" s="21" t="n"/>
    </row>
    <row r="129">
      <c r="A129" s="21" t="n"/>
      <c r="B129" s="21" t="n"/>
      <c r="C129" s="21" t="n"/>
      <c r="D129" s="21" t="n"/>
      <c r="E129" s="21" t="n"/>
    </row>
    <row r="130">
      <c r="A130" s="21" t="n"/>
      <c r="B130" s="21" t="n"/>
      <c r="C130" s="21" t="n"/>
      <c r="D130" s="21" t="n"/>
      <c r="E130" s="21" t="n"/>
    </row>
    <row r="131">
      <c r="A131" s="21" t="n"/>
      <c r="B131" s="21" t="n"/>
      <c r="C131" s="21" t="n"/>
      <c r="D131" s="21" t="n"/>
      <c r="E131" s="21" t="n"/>
    </row>
    <row r="132">
      <c r="A132" s="21" t="n"/>
      <c r="B132" s="21" t="n"/>
      <c r="C132" s="21" t="n"/>
      <c r="D132" s="21" t="n"/>
      <c r="E132" s="21" t="n"/>
    </row>
    <row r="133">
      <c r="A133" s="21" t="n"/>
      <c r="B133" s="21" t="n"/>
      <c r="C133" s="21" t="n"/>
      <c r="D133" s="21" t="n"/>
      <c r="E133" s="21" t="n"/>
    </row>
    <row r="134">
      <c r="A134" s="21" t="n"/>
      <c r="B134" s="21" t="n"/>
      <c r="C134" s="21" t="n"/>
      <c r="D134" s="21" t="n"/>
      <c r="E134" s="21" t="n"/>
    </row>
    <row r="135">
      <c r="A135" s="21" t="n"/>
      <c r="B135" s="21" t="n"/>
      <c r="C135" s="21" t="n"/>
      <c r="D135" s="21" t="n"/>
      <c r="E135" s="21" t="n"/>
    </row>
    <row r="136">
      <c r="A136" s="21" t="n"/>
      <c r="B136" s="21" t="n"/>
      <c r="C136" s="21" t="n"/>
      <c r="D136" s="21" t="n"/>
      <c r="E136" s="21" t="n"/>
    </row>
    <row r="137">
      <c r="A137" s="21" t="n"/>
      <c r="B137" s="21" t="n"/>
      <c r="C137" s="21" t="n"/>
      <c r="D137" s="21" t="n"/>
      <c r="E137" s="21" t="n"/>
    </row>
    <row r="138">
      <c r="A138" s="21" t="n"/>
      <c r="B138" s="21" t="n"/>
      <c r="C138" s="21" t="n"/>
      <c r="D138" s="21" t="n"/>
      <c r="E138" s="21" t="n"/>
    </row>
    <row r="139">
      <c r="A139" s="21" t="n"/>
      <c r="B139" s="21" t="n"/>
      <c r="C139" s="21" t="n"/>
      <c r="D139" s="21" t="n"/>
      <c r="E139" s="21" t="n"/>
    </row>
    <row r="140">
      <c r="A140" s="21" t="n"/>
      <c r="B140" s="21" t="n"/>
      <c r="C140" s="21" t="n"/>
      <c r="D140" s="21" t="n"/>
      <c r="E140" s="21" t="n"/>
    </row>
    <row r="141">
      <c r="A141" s="21" t="n"/>
      <c r="B141" s="21" t="n"/>
      <c r="C141" s="21" t="n"/>
      <c r="D141" s="21" t="n"/>
      <c r="E141" s="21" t="n"/>
    </row>
    <row r="142">
      <c r="A142" s="21" t="n"/>
      <c r="B142" s="21" t="n"/>
      <c r="C142" s="21" t="n"/>
      <c r="D142" s="21" t="n"/>
      <c r="E142" s="21" t="n"/>
    </row>
    <row r="143">
      <c r="A143" s="21" t="n"/>
      <c r="B143" s="21" t="n"/>
      <c r="C143" s="21" t="n"/>
      <c r="D143" s="21" t="n"/>
      <c r="E143" s="21" t="n"/>
    </row>
    <row r="144">
      <c r="A144" s="21" t="n"/>
      <c r="B144" s="21" t="n"/>
      <c r="C144" s="21" t="n"/>
      <c r="D144" s="21" t="n"/>
      <c r="E144" s="21" t="n"/>
    </row>
    <row r="145">
      <c r="A145" s="21" t="n"/>
      <c r="B145" s="21" t="n"/>
      <c r="C145" s="21" t="n"/>
      <c r="D145" s="21" t="n"/>
      <c r="E145" s="21" t="n"/>
    </row>
    <row r="146">
      <c r="A146" s="21" t="n"/>
      <c r="B146" s="21" t="n"/>
      <c r="C146" s="21" t="n"/>
      <c r="D146" s="21" t="n"/>
      <c r="E146" s="21" t="n"/>
    </row>
    <row r="147">
      <c r="A147" s="21" t="n"/>
      <c r="B147" s="21" t="n"/>
      <c r="C147" s="21" t="n"/>
      <c r="D147" s="21" t="n"/>
      <c r="E147" s="21" t="n"/>
    </row>
    <row r="148">
      <c r="A148" s="21" t="n"/>
      <c r="B148" s="21" t="n"/>
      <c r="C148" s="21" t="n"/>
      <c r="D148" s="21" t="n"/>
      <c r="E148" s="21" t="n"/>
    </row>
    <row r="149">
      <c r="A149" s="21" t="n"/>
      <c r="B149" s="21" t="n"/>
      <c r="C149" s="21" t="n"/>
      <c r="D149" s="21" t="n"/>
      <c r="E149" s="21" t="n"/>
    </row>
    <row r="150">
      <c r="A150" s="21" t="n"/>
      <c r="B150" s="21" t="n"/>
      <c r="C150" s="21" t="n"/>
      <c r="D150" s="21" t="n"/>
      <c r="E150" s="21" t="n"/>
    </row>
    <row r="151">
      <c r="A151" s="21" t="n"/>
      <c r="B151" s="21" t="n"/>
      <c r="C151" s="21" t="n"/>
      <c r="D151" s="21" t="n"/>
      <c r="E151" s="21" t="n"/>
    </row>
    <row r="152">
      <c r="A152" s="21" t="n"/>
      <c r="B152" s="21" t="n"/>
      <c r="C152" s="21" t="n"/>
      <c r="D152" s="21" t="n"/>
      <c r="E152" s="21" t="n"/>
    </row>
    <row r="153">
      <c r="A153" s="21" t="n"/>
      <c r="B153" s="21" t="n"/>
      <c r="C153" s="21" t="n"/>
      <c r="D153" s="21" t="n"/>
      <c r="E153" s="21" t="n"/>
    </row>
    <row r="154">
      <c r="A154" s="21" t="n"/>
      <c r="B154" s="21" t="n"/>
      <c r="C154" s="21" t="n"/>
      <c r="D154" s="21" t="n"/>
      <c r="E154" s="21" t="n"/>
    </row>
    <row r="155">
      <c r="A155" s="21" t="n"/>
      <c r="B155" s="21" t="n"/>
      <c r="C155" s="21" t="n"/>
      <c r="D155" s="21" t="n"/>
      <c r="E155" s="21" t="n"/>
    </row>
    <row r="156">
      <c r="A156" s="21" t="n"/>
      <c r="B156" s="21" t="n"/>
      <c r="C156" s="21" t="n"/>
      <c r="D156" s="21" t="n"/>
      <c r="E156" s="21" t="n"/>
    </row>
    <row r="157">
      <c r="A157" s="21" t="n"/>
      <c r="B157" s="21" t="n"/>
      <c r="C157" s="21" t="n"/>
      <c r="D157" s="21" t="n"/>
      <c r="E157" s="21" t="n"/>
    </row>
    <row r="158">
      <c r="A158" s="21" t="n"/>
      <c r="B158" s="21" t="n"/>
      <c r="C158" s="21" t="n"/>
      <c r="D158" s="21" t="n"/>
      <c r="E158" s="21" t="n"/>
    </row>
    <row r="159">
      <c r="A159" s="21" t="n"/>
      <c r="B159" s="21" t="n"/>
      <c r="C159" s="21" t="n"/>
      <c r="D159" s="21" t="n"/>
      <c r="E159" s="21" t="n"/>
    </row>
    <row r="160">
      <c r="A160" s="21" t="n"/>
      <c r="B160" s="21" t="n"/>
      <c r="C160" s="21" t="n"/>
      <c r="D160" s="21" t="n"/>
      <c r="E160" s="21" t="n"/>
    </row>
    <row r="161">
      <c r="A161" s="21" t="n"/>
      <c r="B161" s="21" t="n"/>
      <c r="C161" s="21" t="n"/>
      <c r="D161" s="21" t="n"/>
      <c r="E161" s="21" t="n"/>
    </row>
    <row r="162">
      <c r="A162" s="21" t="n"/>
      <c r="B162" s="21" t="n"/>
      <c r="C162" s="21" t="n"/>
      <c r="D162" s="21" t="n"/>
      <c r="E162" s="21" t="n"/>
    </row>
    <row r="163">
      <c r="A163" s="21" t="n"/>
      <c r="B163" s="21" t="n"/>
      <c r="C163" s="21" t="n"/>
      <c r="D163" s="21" t="n"/>
      <c r="E163" s="21" t="n"/>
    </row>
    <row r="164">
      <c r="A164" s="21" t="n"/>
      <c r="B164" s="21" t="n"/>
      <c r="C164" s="21" t="n"/>
      <c r="D164" s="21" t="n"/>
      <c r="E164" s="21" t="n"/>
    </row>
    <row r="165">
      <c r="A165" s="21" t="n"/>
      <c r="B165" s="21" t="n"/>
      <c r="C165" s="21" t="n"/>
      <c r="D165" s="21" t="n"/>
      <c r="E165" s="21" t="n"/>
    </row>
    <row r="166">
      <c r="A166" s="21" t="n"/>
      <c r="B166" s="21" t="n"/>
      <c r="C166" s="21" t="n"/>
      <c r="D166" s="21" t="n"/>
      <c r="E166" s="21" t="n"/>
    </row>
    <row r="167">
      <c r="A167" s="21" t="n"/>
      <c r="B167" s="21" t="n"/>
      <c r="C167" s="21" t="n"/>
      <c r="D167" s="21" t="n"/>
      <c r="E167" s="21" t="n"/>
    </row>
    <row r="168">
      <c r="A168" s="21" t="n"/>
      <c r="B168" s="21" t="n"/>
      <c r="C168" s="21" t="n"/>
      <c r="D168" s="21" t="n"/>
      <c r="E168" s="21" t="n"/>
    </row>
    <row r="169">
      <c r="A169" s="21" t="n"/>
      <c r="B169" s="21" t="n"/>
      <c r="C169" s="21" t="n"/>
      <c r="D169" s="21" t="n"/>
      <c r="E169" s="21" t="n"/>
    </row>
    <row r="170">
      <c r="A170" s="21" t="n"/>
      <c r="B170" s="21" t="n"/>
      <c r="C170" s="21" t="n"/>
      <c r="D170" s="21" t="n"/>
      <c r="E170" s="21" t="n"/>
    </row>
    <row r="171">
      <c r="A171" s="21" t="n"/>
      <c r="B171" s="21" t="n"/>
      <c r="C171" s="21" t="n"/>
      <c r="D171" s="21" t="n"/>
      <c r="E171" s="21" t="n"/>
    </row>
    <row r="172">
      <c r="A172" s="21" t="n"/>
      <c r="B172" s="21" t="n"/>
      <c r="C172" s="21" t="n"/>
      <c r="D172" s="21" t="n"/>
      <c r="E172" s="21" t="n"/>
    </row>
    <row r="173">
      <c r="A173" s="21" t="n"/>
      <c r="B173" s="21" t="n"/>
      <c r="C173" s="21" t="n"/>
      <c r="D173" s="21" t="n"/>
      <c r="E173" s="21" t="n"/>
    </row>
    <row r="174">
      <c r="A174" s="21" t="n"/>
      <c r="B174" s="21" t="n"/>
      <c r="C174" s="21" t="n"/>
      <c r="D174" s="21" t="n"/>
      <c r="E174" s="21" t="n"/>
    </row>
    <row r="175">
      <c r="A175" s="21" t="n"/>
      <c r="B175" s="21" t="n"/>
      <c r="C175" s="21" t="n"/>
      <c r="D175" s="21" t="n"/>
      <c r="E175" s="21" t="n"/>
    </row>
    <row r="176">
      <c r="A176" s="21" t="n"/>
      <c r="B176" s="21" t="n"/>
      <c r="C176" s="21" t="n"/>
      <c r="D176" s="21" t="n"/>
      <c r="E176" s="21" t="n"/>
    </row>
    <row r="177">
      <c r="A177" s="21" t="n"/>
      <c r="B177" s="21" t="n"/>
      <c r="C177" s="21" t="n"/>
      <c r="D177" s="21" t="n"/>
      <c r="E177" s="21" t="n"/>
    </row>
    <row r="178">
      <c r="A178" s="21" t="n"/>
      <c r="B178" s="21" t="n"/>
      <c r="C178" s="21" t="n"/>
      <c r="D178" s="21" t="n"/>
      <c r="E178" s="21" t="n"/>
    </row>
    <row r="179">
      <c r="A179" s="21" t="n"/>
      <c r="B179" s="21" t="n"/>
      <c r="C179" s="21" t="n"/>
      <c r="D179" s="21" t="n"/>
      <c r="E179" s="21" t="n"/>
    </row>
    <row r="180">
      <c r="A180" s="21" t="n"/>
      <c r="B180" s="21" t="n"/>
      <c r="C180" s="21" t="n"/>
      <c r="D180" s="21" t="n"/>
      <c r="E180" s="21" t="n"/>
    </row>
    <row r="181">
      <c r="A181" s="21" t="n"/>
      <c r="B181" s="21" t="n"/>
      <c r="C181" s="21" t="n"/>
      <c r="D181" s="21" t="n"/>
      <c r="E181" s="21" t="n"/>
    </row>
    <row r="182">
      <c r="A182" s="21" t="n"/>
      <c r="B182" s="21" t="n"/>
      <c r="C182" s="21" t="n"/>
      <c r="D182" s="21" t="n"/>
      <c r="E182" s="21" t="n"/>
    </row>
    <row r="183">
      <c r="A183" s="21" t="n"/>
      <c r="B183" s="21" t="n"/>
      <c r="C183" s="21" t="n"/>
      <c r="D183" s="21" t="n"/>
      <c r="E183" s="21" t="n"/>
    </row>
    <row r="184">
      <c r="A184" s="21" t="n"/>
      <c r="B184" s="21" t="n"/>
      <c r="C184" s="21" t="n"/>
      <c r="D184" s="21" t="n"/>
      <c r="E184" s="21" t="n"/>
    </row>
    <row r="185">
      <c r="A185" s="21" t="n"/>
      <c r="B185" s="21" t="n"/>
      <c r="C185" s="21" t="n"/>
      <c r="D185" s="21" t="n"/>
      <c r="E185" s="21" t="n"/>
    </row>
    <row r="186">
      <c r="A186" s="21" t="n"/>
      <c r="B186" s="21" t="n"/>
      <c r="C186" s="21" t="n"/>
      <c r="D186" s="21" t="n"/>
      <c r="E186" s="21" t="n"/>
    </row>
    <row r="187">
      <c r="A187" s="21" t="n"/>
      <c r="B187" s="21" t="n"/>
      <c r="C187" s="21" t="n"/>
      <c r="D187" s="21" t="n"/>
      <c r="E187" s="21" t="n"/>
    </row>
    <row r="188">
      <c r="A188" s="21" t="n"/>
      <c r="B188" s="21" t="n"/>
      <c r="C188" s="21" t="n"/>
      <c r="D188" s="21" t="n"/>
      <c r="E188" s="21" t="n"/>
    </row>
    <row r="189">
      <c r="A189" s="21" t="n"/>
      <c r="B189" s="21" t="n"/>
      <c r="C189" s="21" t="n"/>
      <c r="D189" s="21" t="n"/>
      <c r="E189" s="21" t="n"/>
    </row>
    <row r="190">
      <c r="A190" s="21" t="n"/>
      <c r="B190" s="21" t="n"/>
      <c r="C190" s="21" t="n"/>
      <c r="D190" s="21" t="n"/>
      <c r="E190" s="21" t="n"/>
    </row>
    <row r="191">
      <c r="A191" s="21" t="n"/>
      <c r="B191" s="21" t="n"/>
      <c r="C191" s="21" t="n"/>
      <c r="D191" s="21" t="n"/>
      <c r="E191" s="21" t="n"/>
    </row>
    <row r="192">
      <c r="A192" s="21" t="n"/>
      <c r="B192" s="21" t="n"/>
      <c r="C192" s="21" t="n"/>
      <c r="D192" s="21" t="n"/>
      <c r="E192" s="21" t="n"/>
    </row>
    <row r="193">
      <c r="A193" s="21" t="n"/>
      <c r="B193" s="21" t="n"/>
      <c r="C193" s="21" t="n"/>
      <c r="D193" s="21" t="n"/>
      <c r="E193" s="21" t="n"/>
    </row>
    <row r="194">
      <c r="A194" s="21" t="n"/>
      <c r="B194" s="21" t="n"/>
      <c r="C194" s="21" t="n"/>
      <c r="D194" s="21" t="n"/>
      <c r="E194" s="21" t="n"/>
    </row>
    <row r="195">
      <c r="A195" s="21" t="n"/>
      <c r="B195" s="21" t="n"/>
      <c r="C195" s="21" t="n"/>
      <c r="D195" s="21" t="n"/>
      <c r="E195" s="21" t="n"/>
    </row>
    <row r="196">
      <c r="A196" s="21" t="n"/>
      <c r="B196" s="21" t="n"/>
      <c r="C196" s="21" t="n"/>
      <c r="D196" s="21" t="n"/>
      <c r="E196" s="21" t="n"/>
    </row>
    <row r="197">
      <c r="A197" s="21" t="n"/>
      <c r="B197" s="21" t="n"/>
      <c r="C197" s="21" t="n"/>
      <c r="D197" s="21" t="n"/>
      <c r="E197" s="21" t="n"/>
    </row>
    <row r="198">
      <c r="A198" s="21" t="n"/>
      <c r="B198" s="21" t="n"/>
      <c r="C198" s="21" t="n"/>
      <c r="D198" s="21" t="n"/>
      <c r="E198" s="21" t="n"/>
    </row>
    <row r="199">
      <c r="A199" s="21" t="n"/>
      <c r="B199" s="21" t="n"/>
      <c r="C199" s="21" t="n"/>
      <c r="D199" s="21" t="n"/>
      <c r="E199" s="21" t="n"/>
    </row>
    <row r="200">
      <c r="A200" s="21" t="n"/>
      <c r="B200" s="21" t="n"/>
      <c r="C200" s="21" t="n"/>
      <c r="D200" s="21" t="n"/>
      <c r="E200" s="21" t="n"/>
    </row>
    <row r="201">
      <c r="A201" s="21" t="n"/>
      <c r="B201" s="21" t="n"/>
      <c r="C201" s="21" t="n"/>
      <c r="D201" s="21" t="n"/>
      <c r="E201" s="21" t="n"/>
    </row>
    <row r="202">
      <c r="A202" s="21" t="n"/>
      <c r="B202" s="21" t="n"/>
      <c r="C202" s="21" t="n"/>
      <c r="D202" s="21" t="n"/>
      <c r="E202" s="21" t="n"/>
    </row>
    <row r="203">
      <c r="A203" s="21" t="n"/>
      <c r="B203" s="21" t="n"/>
      <c r="C203" s="21" t="n"/>
      <c r="D203" s="21" t="n"/>
      <c r="E203" s="21" t="n"/>
    </row>
    <row r="204">
      <c r="A204" s="21" t="n"/>
      <c r="B204" s="21" t="n"/>
      <c r="C204" s="21" t="n"/>
      <c r="D204" s="21" t="n"/>
      <c r="E204" s="21" t="n"/>
    </row>
    <row r="205">
      <c r="A205" s="21" t="n"/>
      <c r="B205" s="21" t="n"/>
      <c r="C205" s="21" t="n"/>
      <c r="D205" s="21" t="n"/>
      <c r="E205" s="21" t="n"/>
    </row>
    <row r="206">
      <c r="A206" s="21" t="n"/>
      <c r="B206" s="21" t="n"/>
      <c r="C206" s="21" t="n"/>
      <c r="D206" s="21" t="n"/>
      <c r="E206" s="21" t="n"/>
    </row>
    <row r="207">
      <c r="A207" s="21" t="n"/>
      <c r="B207" s="21" t="n"/>
      <c r="C207" s="21" t="n"/>
      <c r="D207" s="21" t="n"/>
      <c r="E207" s="21" t="n"/>
    </row>
    <row r="208">
      <c r="A208" s="21" t="n"/>
      <c r="B208" s="21" t="n"/>
      <c r="C208" s="21" t="n"/>
      <c r="D208" s="21" t="n"/>
      <c r="E208" s="21" t="n"/>
    </row>
    <row r="209">
      <c r="A209" s="21" t="n"/>
      <c r="B209" s="21" t="n"/>
      <c r="C209" s="21" t="n"/>
      <c r="D209" s="21" t="n"/>
      <c r="E209" s="21" t="n"/>
    </row>
    <row r="210">
      <c r="A210" s="21" t="n"/>
      <c r="B210" s="21" t="n"/>
      <c r="C210" s="21" t="n"/>
      <c r="D210" s="21" t="n"/>
      <c r="E210" s="21" t="n"/>
    </row>
    <row r="211">
      <c r="A211" s="21" t="n"/>
      <c r="B211" s="21" t="n"/>
      <c r="C211" s="21" t="n"/>
      <c r="D211" s="21" t="n"/>
      <c r="E211" s="21" t="n"/>
    </row>
    <row r="212">
      <c r="A212" s="21" t="n"/>
      <c r="B212" s="21" t="n"/>
      <c r="C212" s="21" t="n"/>
      <c r="D212" s="21" t="n"/>
      <c r="E212" s="21" t="n"/>
    </row>
    <row r="213">
      <c r="A213" s="21" t="n"/>
      <c r="B213" s="21" t="n"/>
      <c r="C213" s="21" t="n"/>
      <c r="D213" s="21" t="n"/>
      <c r="E213" s="21" t="n"/>
    </row>
    <row r="214">
      <c r="A214" s="21" t="n"/>
      <c r="B214" s="21" t="n"/>
      <c r="C214" s="21" t="n"/>
      <c r="D214" s="21" t="n"/>
      <c r="E214" s="21" t="n"/>
    </row>
    <row r="215">
      <c r="A215" s="21" t="n"/>
      <c r="B215" s="21" t="n"/>
      <c r="C215" s="21" t="n"/>
      <c r="D215" s="21" t="n"/>
      <c r="E215" s="21" t="n"/>
    </row>
    <row r="216">
      <c r="A216" s="21" t="n"/>
      <c r="B216" s="21" t="n"/>
      <c r="C216" s="21" t="n"/>
      <c r="D216" s="21" t="n"/>
      <c r="E216" s="21" t="n"/>
    </row>
    <row r="217">
      <c r="A217" s="21" t="n"/>
      <c r="B217" s="21" t="n"/>
      <c r="C217" s="21" t="n"/>
      <c r="D217" s="21" t="n"/>
      <c r="E217" s="21" t="n"/>
    </row>
    <row r="218">
      <c r="A218" s="21" t="n"/>
      <c r="B218" s="21" t="n"/>
      <c r="C218" s="21" t="n"/>
      <c r="D218" s="21" t="n"/>
      <c r="E218" s="21" t="n"/>
    </row>
    <row r="219">
      <c r="A219" s="21" t="n"/>
      <c r="B219" s="21" t="n"/>
      <c r="C219" s="21" t="n"/>
      <c r="D219" s="21" t="n"/>
      <c r="E219" s="21" t="n"/>
    </row>
    <row r="220">
      <c r="A220" s="21" t="n"/>
      <c r="B220" s="21" t="n"/>
      <c r="C220" s="21" t="n"/>
      <c r="D220" s="21" t="n"/>
      <c r="E220" s="21" t="n"/>
    </row>
    <row r="221">
      <c r="A221" s="21" t="n"/>
      <c r="B221" s="21" t="n"/>
      <c r="C221" s="21" t="n"/>
      <c r="D221" s="21" t="n"/>
      <c r="E221" s="21" t="n"/>
    </row>
    <row r="222">
      <c r="A222" s="21" t="n"/>
      <c r="B222" s="21" t="n"/>
      <c r="C222" s="21" t="n"/>
      <c r="D222" s="21" t="n"/>
      <c r="E222" s="21" t="n"/>
    </row>
    <row r="223">
      <c r="A223" s="21" t="n"/>
      <c r="B223" s="21" t="n"/>
      <c r="C223" s="21" t="n"/>
      <c r="D223" s="21" t="n"/>
      <c r="E223" s="21" t="n"/>
    </row>
    <row r="224">
      <c r="A224" s="21" t="n"/>
      <c r="B224" s="21" t="n"/>
      <c r="C224" s="21" t="n"/>
      <c r="D224" s="21" t="n"/>
      <c r="E224" s="21" t="n"/>
    </row>
    <row r="225">
      <c r="A225" s="21" t="n"/>
      <c r="B225" s="21" t="n"/>
      <c r="C225" s="21" t="n"/>
      <c r="D225" s="21" t="n"/>
      <c r="E225" s="21" t="n"/>
    </row>
    <row r="226">
      <c r="A226" s="21" t="n"/>
      <c r="B226" s="21" t="n"/>
      <c r="C226" s="21" t="n"/>
      <c r="D226" s="21" t="n"/>
      <c r="E226" s="21" t="n"/>
    </row>
    <row r="227">
      <c r="A227" s="21" t="n"/>
      <c r="B227" s="21" t="n"/>
      <c r="C227" s="21" t="n"/>
      <c r="D227" s="21" t="n"/>
      <c r="E227" s="21" t="n"/>
    </row>
    <row r="228">
      <c r="A228" s="21" t="n"/>
      <c r="B228" s="21" t="n"/>
      <c r="C228" s="21" t="n"/>
      <c r="D228" s="21" t="n"/>
      <c r="E228" s="21" t="n"/>
    </row>
    <row r="229">
      <c r="A229" s="21" t="n"/>
      <c r="B229" s="21" t="n"/>
      <c r="C229" s="21" t="n"/>
      <c r="D229" s="21" t="n"/>
      <c r="E229" s="21" t="n"/>
    </row>
    <row r="230">
      <c r="A230" s="21" t="n"/>
      <c r="B230" s="21" t="n"/>
      <c r="C230" s="21" t="n"/>
      <c r="D230" s="21" t="n"/>
      <c r="E230" s="21" t="n"/>
    </row>
    <row r="231">
      <c r="A231" s="21" t="n"/>
      <c r="B231" s="21" t="n"/>
      <c r="C231" s="21" t="n"/>
      <c r="D231" s="21" t="n"/>
      <c r="E231" s="21" t="n"/>
    </row>
    <row r="232">
      <c r="A232" s="21" t="n"/>
      <c r="B232" s="21" t="n"/>
      <c r="C232" s="21" t="n"/>
      <c r="D232" s="21" t="n"/>
      <c r="E232" s="21" t="n"/>
    </row>
    <row r="233">
      <c r="A233" s="21" t="n"/>
      <c r="B233" s="21" t="n"/>
      <c r="C233" s="21" t="n"/>
      <c r="D233" s="21" t="n"/>
      <c r="E233" s="21" t="n"/>
    </row>
    <row r="234">
      <c r="A234" s="21" t="n"/>
      <c r="B234" s="21" t="n"/>
      <c r="C234" s="21" t="n"/>
      <c r="D234" s="21" t="n"/>
      <c r="E234" s="21" t="n"/>
    </row>
    <row r="235">
      <c r="A235" s="21" t="n"/>
      <c r="B235" s="21" t="n"/>
      <c r="C235" s="21" t="n"/>
      <c r="D235" s="21" t="n"/>
      <c r="E235" s="21" t="n"/>
    </row>
    <row r="236">
      <c r="A236" s="21" t="n"/>
      <c r="B236" s="21" t="n"/>
      <c r="C236" s="21" t="n"/>
      <c r="D236" s="21" t="n"/>
      <c r="E236" s="21" t="n"/>
    </row>
    <row r="237">
      <c r="A237" s="21" t="n"/>
      <c r="B237" s="21" t="n"/>
      <c r="C237" s="21" t="n"/>
      <c r="D237" s="21" t="n"/>
      <c r="E237" s="21" t="n"/>
    </row>
    <row r="238">
      <c r="A238" s="21" t="n"/>
      <c r="B238" s="21" t="n"/>
      <c r="C238" s="21" t="n"/>
      <c r="D238" s="21" t="n"/>
      <c r="E238" s="21" t="n"/>
    </row>
    <row r="239">
      <c r="A239" s="21" t="n"/>
      <c r="B239" s="21" t="n"/>
      <c r="C239" s="21" t="n"/>
      <c r="D239" s="21" t="n"/>
      <c r="E239" s="21" t="n"/>
    </row>
    <row r="240">
      <c r="A240" s="21" t="n"/>
      <c r="B240" s="21" t="n"/>
      <c r="C240" s="21" t="n"/>
      <c r="D240" s="21" t="n"/>
      <c r="E240" s="21" t="n"/>
    </row>
    <row r="241">
      <c r="A241" s="21" t="n"/>
      <c r="B241" s="21" t="n"/>
      <c r="C241" s="21" t="n"/>
      <c r="D241" s="21" t="n"/>
      <c r="E241" s="21" t="n"/>
    </row>
    <row r="242">
      <c r="A242" s="21" t="n"/>
      <c r="B242" s="21" t="n"/>
      <c r="C242" s="21" t="n"/>
      <c r="D242" s="21" t="n"/>
      <c r="E242" s="21" t="n"/>
    </row>
    <row r="243">
      <c r="A243" s="21" t="n"/>
      <c r="B243" s="21" t="n"/>
      <c r="C243" s="21" t="n"/>
      <c r="D243" s="21" t="n"/>
      <c r="E243" s="21" t="n"/>
    </row>
    <row r="244">
      <c r="A244" s="21" t="n"/>
      <c r="B244" s="21" t="n"/>
      <c r="C244" s="21" t="n"/>
      <c r="D244" s="21" t="n"/>
      <c r="E244" s="21" t="n"/>
    </row>
    <row r="245">
      <c r="A245" s="21" t="n"/>
      <c r="B245" s="21" t="n"/>
      <c r="C245" s="21" t="n"/>
      <c r="D245" s="21" t="n"/>
      <c r="E245" s="21" t="n"/>
    </row>
    <row r="246">
      <c r="A246" s="21" t="n"/>
      <c r="B246" s="21" t="n"/>
      <c r="C246" s="21" t="n"/>
      <c r="D246" s="21" t="n"/>
      <c r="E246" s="21" t="n"/>
    </row>
    <row r="247">
      <c r="A247" s="21" t="n"/>
      <c r="B247" s="21" t="n"/>
      <c r="C247" s="21" t="n"/>
      <c r="D247" s="21" t="n"/>
      <c r="E247" s="21" t="n"/>
    </row>
    <row r="248">
      <c r="A248" s="21" t="n"/>
      <c r="B248" s="21" t="n"/>
      <c r="C248" s="21" t="n"/>
      <c r="D248" s="21" t="n"/>
      <c r="E248" s="21" t="n"/>
    </row>
    <row r="249">
      <c r="A249" s="21" t="n"/>
      <c r="B249" s="21" t="n"/>
      <c r="C249" s="21" t="n"/>
      <c r="D249" s="21" t="n"/>
      <c r="E249" s="21" t="n"/>
    </row>
    <row r="250">
      <c r="A250" s="21" t="n"/>
      <c r="B250" s="21" t="n"/>
      <c r="C250" s="21" t="n"/>
      <c r="D250" s="21" t="n"/>
      <c r="E250" s="21" t="n"/>
    </row>
    <row r="251">
      <c r="A251" s="21" t="n"/>
      <c r="B251" s="21" t="n"/>
      <c r="C251" s="21" t="n"/>
      <c r="D251" s="21" t="n"/>
      <c r="E251" s="21" t="n"/>
    </row>
    <row r="252">
      <c r="A252" s="21" t="n"/>
      <c r="B252" s="21" t="n"/>
      <c r="C252" s="21" t="n"/>
      <c r="D252" s="21" t="n"/>
      <c r="E252" s="21" t="n"/>
    </row>
    <row r="253">
      <c r="A253" s="21" t="n"/>
      <c r="B253" s="21" t="n"/>
      <c r="C253" s="21" t="n"/>
      <c r="D253" s="21" t="n"/>
      <c r="E253" s="21" t="n"/>
    </row>
    <row r="254">
      <c r="A254" s="21" t="n"/>
      <c r="B254" s="21" t="n"/>
      <c r="C254" s="21" t="n"/>
      <c r="D254" s="21" t="n"/>
      <c r="E254" s="21" t="n"/>
    </row>
    <row r="255">
      <c r="A255" s="21" t="n"/>
      <c r="B255" s="21" t="n"/>
      <c r="C255" s="21" t="n"/>
      <c r="D255" s="21" t="n"/>
      <c r="E255" s="21" t="n"/>
    </row>
    <row r="256">
      <c r="A256" s="21" t="n"/>
      <c r="B256" s="21" t="n"/>
      <c r="C256" s="21" t="n"/>
      <c r="D256" s="21" t="n"/>
      <c r="E256" s="21" t="n"/>
    </row>
    <row r="257">
      <c r="A257" s="21" t="n"/>
      <c r="B257" s="21" t="n"/>
      <c r="C257" s="21" t="n"/>
      <c r="D257" s="21" t="n"/>
      <c r="E257" s="21" t="n"/>
    </row>
    <row r="258">
      <c r="A258" s="21" t="n"/>
      <c r="B258" s="21" t="n"/>
      <c r="C258" s="21" t="n"/>
      <c r="D258" s="21" t="n"/>
      <c r="E258" s="21" t="n"/>
    </row>
    <row r="259">
      <c r="A259" s="21" t="n"/>
      <c r="B259" s="21" t="n"/>
      <c r="C259" s="21" t="n"/>
      <c r="D259" s="21" t="n"/>
      <c r="E259" s="21" t="n"/>
    </row>
    <row r="260">
      <c r="A260" s="21" t="n"/>
      <c r="B260" s="21" t="n"/>
      <c r="C260" s="21" t="n"/>
      <c r="D260" s="21" t="n"/>
      <c r="E260" s="21" t="n"/>
    </row>
    <row r="261">
      <c r="A261" s="21" t="n"/>
      <c r="B261" s="21" t="n"/>
      <c r="C261" s="21" t="n"/>
      <c r="D261" s="21" t="n"/>
      <c r="E261" s="21" t="n"/>
    </row>
    <row r="262">
      <c r="A262" s="21" t="n"/>
      <c r="B262" s="21" t="n"/>
      <c r="C262" s="21" t="n"/>
      <c r="D262" s="21" t="n"/>
      <c r="E262" s="21" t="n"/>
    </row>
    <row r="263">
      <c r="A263" s="21" t="n"/>
      <c r="B263" s="21" t="n"/>
      <c r="C263" s="21" t="n"/>
      <c r="D263" s="21" t="n"/>
      <c r="E263" s="21" t="n"/>
    </row>
    <row r="264">
      <c r="A264" s="21" t="n"/>
      <c r="B264" s="21" t="n"/>
      <c r="C264" s="21" t="n"/>
      <c r="D264" s="21" t="n"/>
      <c r="E264" s="21" t="n"/>
    </row>
    <row r="265">
      <c r="A265" s="21" t="n"/>
      <c r="B265" s="21" t="n"/>
      <c r="C265" s="21" t="n"/>
      <c r="D265" s="21" t="n"/>
      <c r="E265" s="21" t="n"/>
    </row>
    <row r="266">
      <c r="A266" s="21" t="n"/>
      <c r="B266" s="21" t="n"/>
      <c r="C266" s="21" t="n"/>
      <c r="D266" s="21" t="n"/>
      <c r="E266" s="21" t="n"/>
    </row>
    <row r="267">
      <c r="A267" s="21" t="n"/>
      <c r="B267" s="21" t="n"/>
      <c r="C267" s="21" t="n"/>
      <c r="D267" s="21" t="n"/>
      <c r="E267" s="21" t="n"/>
    </row>
    <row r="268">
      <c r="A268" s="21" t="n"/>
      <c r="B268" s="21" t="n"/>
      <c r="C268" s="21" t="n"/>
      <c r="D268" s="21" t="n"/>
      <c r="E268" s="21" t="n"/>
    </row>
    <row r="269">
      <c r="A269" s="21" t="n"/>
      <c r="B269" s="21" t="n"/>
      <c r="C269" s="21" t="n"/>
      <c r="D269" s="21" t="n"/>
      <c r="E269" s="21" t="n"/>
    </row>
    <row r="270">
      <c r="A270" s="21" t="n"/>
      <c r="B270" s="21" t="n"/>
      <c r="C270" s="21" t="n"/>
      <c r="D270" s="21" t="n"/>
      <c r="E270" s="21" t="n"/>
    </row>
    <row r="271">
      <c r="A271" s="21" t="n"/>
      <c r="B271" s="21" t="n"/>
      <c r="C271" s="21" t="n"/>
      <c r="D271" s="21" t="n"/>
      <c r="E271" s="21" t="n"/>
    </row>
    <row r="272">
      <c r="A272" s="21" t="n"/>
      <c r="B272" s="21" t="n"/>
      <c r="C272" s="21" t="n"/>
      <c r="D272" s="21" t="n"/>
      <c r="E272" s="21" t="n"/>
    </row>
    <row r="273">
      <c r="A273" s="21" t="n"/>
      <c r="B273" s="21" t="n"/>
      <c r="C273" s="21" t="n"/>
      <c r="D273" s="21" t="n"/>
      <c r="E273" s="21" t="n"/>
    </row>
    <row r="274">
      <c r="A274" s="21" t="n"/>
      <c r="B274" s="21" t="n"/>
      <c r="C274" s="21" t="n"/>
      <c r="D274" s="21" t="n"/>
      <c r="E274" s="21" t="n"/>
    </row>
    <row r="275">
      <c r="A275" s="21" t="n"/>
      <c r="B275" s="21" t="n"/>
      <c r="C275" s="21" t="n"/>
      <c r="D275" s="21" t="n"/>
      <c r="E275" s="21" t="n"/>
    </row>
    <row r="276">
      <c r="A276" s="21" t="n"/>
      <c r="B276" s="21" t="n"/>
      <c r="C276" s="21" t="n"/>
      <c r="D276" s="21" t="n"/>
      <c r="E276" s="21" t="n"/>
    </row>
    <row r="277">
      <c r="A277" s="21" t="n"/>
      <c r="B277" s="21" t="n"/>
      <c r="C277" s="21" t="n"/>
      <c r="D277" s="21" t="n"/>
      <c r="E277" s="21" t="n"/>
    </row>
    <row r="278">
      <c r="A278" s="21" t="n"/>
      <c r="B278" s="21" t="n"/>
      <c r="C278" s="21" t="n"/>
      <c r="D278" s="21" t="n"/>
      <c r="E278" s="21" t="n"/>
    </row>
    <row r="279">
      <c r="A279" s="21" t="n"/>
      <c r="B279" s="21" t="n"/>
      <c r="C279" s="21" t="n"/>
      <c r="D279" s="21" t="n"/>
      <c r="E279" s="21" t="n"/>
    </row>
    <row r="280">
      <c r="A280" s="21" t="n"/>
      <c r="B280" s="21" t="n"/>
      <c r="C280" s="21" t="n"/>
      <c r="D280" s="21" t="n"/>
      <c r="E280" s="21" t="n"/>
    </row>
    <row r="281">
      <c r="A281" s="21" t="n"/>
      <c r="B281" s="21" t="n"/>
      <c r="C281" s="21" t="n"/>
      <c r="D281" s="21" t="n"/>
      <c r="E281" s="21" t="n"/>
    </row>
    <row r="282">
      <c r="A282" s="21" t="n"/>
      <c r="B282" s="21" t="n"/>
      <c r="C282" s="21" t="n"/>
      <c r="D282" s="21" t="n"/>
      <c r="E282" s="21" t="n"/>
    </row>
    <row r="283">
      <c r="A283" s="21" t="n"/>
      <c r="B283" s="21" t="n"/>
      <c r="C283" s="21" t="n"/>
      <c r="D283" s="21" t="n"/>
      <c r="E283" s="21" t="n"/>
    </row>
    <row r="284">
      <c r="A284" s="21" t="n"/>
      <c r="B284" s="21" t="n"/>
      <c r="C284" s="21" t="n"/>
      <c r="D284" s="21" t="n"/>
      <c r="E284" s="21" t="n"/>
    </row>
    <row r="285">
      <c r="A285" s="21" t="n"/>
      <c r="B285" s="21" t="n"/>
      <c r="C285" s="21" t="n"/>
      <c r="D285" s="21" t="n"/>
      <c r="E285" s="21" t="n"/>
    </row>
    <row r="286">
      <c r="A286" s="21" t="n"/>
      <c r="B286" s="21" t="n"/>
      <c r="C286" s="21" t="n"/>
      <c r="D286" s="21" t="n"/>
      <c r="E286" s="21" t="n"/>
    </row>
    <row r="287">
      <c r="A287" s="21" t="n"/>
      <c r="B287" s="21" t="n"/>
      <c r="C287" s="21" t="n"/>
      <c r="D287" s="21" t="n"/>
      <c r="E287" s="21" t="n"/>
    </row>
    <row r="288">
      <c r="A288" s="21" t="n"/>
      <c r="B288" s="21" t="n"/>
      <c r="C288" s="21" t="n"/>
      <c r="D288" s="21" t="n"/>
      <c r="E288" s="21" t="n"/>
    </row>
    <row r="289">
      <c r="A289" s="21" t="n"/>
      <c r="B289" s="21" t="n"/>
      <c r="C289" s="21" t="n"/>
      <c r="D289" s="21" t="n"/>
      <c r="E289" s="21" t="n"/>
    </row>
    <row r="290">
      <c r="A290" s="21" t="n"/>
      <c r="B290" s="21" t="n"/>
      <c r="C290" s="21" t="n"/>
      <c r="D290" s="21" t="n"/>
      <c r="E290" s="21" t="n"/>
    </row>
    <row r="291">
      <c r="A291" s="21" t="n"/>
      <c r="B291" s="21" t="n"/>
      <c r="C291" s="21" t="n"/>
      <c r="D291" s="21" t="n"/>
      <c r="E291" s="21" t="n"/>
    </row>
    <row r="292">
      <c r="A292" s="21" t="n"/>
      <c r="B292" s="21" t="n"/>
      <c r="C292" s="21" t="n"/>
      <c r="D292" s="21" t="n"/>
      <c r="E292" s="21" t="n"/>
    </row>
    <row r="293">
      <c r="A293" s="21" t="n"/>
      <c r="B293" s="21" t="n"/>
      <c r="C293" s="21" t="n"/>
      <c r="D293" s="21" t="n"/>
      <c r="E293" s="21" t="n"/>
    </row>
    <row r="294">
      <c r="A294" s="21" t="n"/>
      <c r="B294" s="21" t="n"/>
      <c r="C294" s="21" t="n"/>
      <c r="D294" s="21" t="n"/>
      <c r="E294" s="21" t="n"/>
    </row>
    <row r="295">
      <c r="A295" s="21" t="n"/>
      <c r="B295" s="21" t="n"/>
      <c r="C295" s="21" t="n"/>
      <c r="D295" s="21" t="n"/>
      <c r="E295" s="21" t="n"/>
    </row>
    <row r="296">
      <c r="A296" s="21" t="n"/>
      <c r="B296" s="21" t="n"/>
      <c r="C296" s="21" t="n"/>
      <c r="D296" s="21" t="n"/>
      <c r="E296" s="21" t="n"/>
    </row>
    <row r="297">
      <c r="A297" s="21" t="n"/>
      <c r="B297" s="21" t="n"/>
      <c r="C297" s="21" t="n"/>
      <c r="D297" s="21" t="n"/>
      <c r="E297" s="21" t="n"/>
    </row>
    <row r="298">
      <c r="A298" s="21" t="n"/>
      <c r="B298" s="21" t="n"/>
      <c r="C298" s="21" t="n"/>
      <c r="D298" s="21" t="n"/>
      <c r="E298" s="21" t="n"/>
    </row>
    <row r="299">
      <c r="A299" s="21" t="n"/>
      <c r="B299" s="21" t="n"/>
      <c r="C299" s="21" t="n"/>
      <c r="D299" s="21" t="n"/>
      <c r="E299" s="21" t="n"/>
    </row>
    <row r="300">
      <c r="A300" s="21" t="n"/>
      <c r="B300" s="21" t="n"/>
      <c r="C300" s="21" t="n"/>
      <c r="D300" s="21" t="n"/>
      <c r="E300" s="21" t="n"/>
    </row>
    <row r="301">
      <c r="A301" s="21" t="n"/>
      <c r="B301" s="21" t="n"/>
      <c r="C301" s="21" t="n"/>
      <c r="D301" s="21" t="n"/>
      <c r="E301" s="21" t="n"/>
    </row>
    <row r="302">
      <c r="A302" s="21" t="n"/>
      <c r="B302" s="21" t="n"/>
      <c r="C302" s="21" t="n"/>
      <c r="D302" s="21" t="n"/>
      <c r="E302" s="21" t="n"/>
    </row>
    <row r="303">
      <c r="A303" s="21" t="n"/>
      <c r="B303" s="21" t="n"/>
      <c r="C303" s="21" t="n"/>
      <c r="D303" s="21" t="n"/>
      <c r="E303" s="21" t="n"/>
    </row>
    <row r="304">
      <c r="A304" s="21" t="n"/>
      <c r="B304" s="21" t="n"/>
      <c r="C304" s="21" t="n"/>
      <c r="D304" s="21" t="n"/>
      <c r="E304" s="21" t="n"/>
    </row>
  </sheetData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B6B86"/>
    <outlinePr summaryBelow="1" summaryRight="1"/>
    <pageSetUpPr/>
  </sheetPr>
  <dimension ref="A1:I3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3" customWidth="1" min="3" max="3"/>
    <col width="16" customWidth="1" min="4" max="4"/>
    <col width="16" customWidth="1" min="5" max="5"/>
    <col width="12" customWidth="1" min="6" max="6"/>
    <col width="14" customWidth="1" min="7" max="7"/>
    <col width="11" customWidth="1" min="8" max="8"/>
    <col width="15" customWidth="1" min="9" max="9"/>
  </cols>
  <sheetData>
    <row r="1" ht="34" customHeight="1">
      <c r="A1" s="1" t="inlineStr">
        <is>
          <t>Setup  -  Mix Design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Concrete grades &amp; material consumption per m3. Drives production consumption + selling rate.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 ht="30" customHeight="1">
      <c r="A4" s="17" t="inlineStr">
        <is>
          <t>Grade</t>
        </is>
      </c>
      <c r="B4" s="17" t="inlineStr">
        <is>
          <t>Cement (kg/m3)</t>
        </is>
      </c>
      <c r="C4" s="17" t="inlineStr">
        <is>
          <t>Sand (kg/m3)</t>
        </is>
      </c>
      <c r="D4" s="17" t="inlineStr">
        <is>
          <t>Aggregate 20mm (kg/m3)</t>
        </is>
      </c>
      <c r="E4" s="17" t="inlineStr">
        <is>
          <t>Aggregate 10mm (kg/m3)</t>
        </is>
      </c>
      <c r="F4" s="17" t="inlineStr">
        <is>
          <t>Water (ltr/m3)</t>
        </is>
      </c>
      <c r="G4" s="17" t="inlineStr">
        <is>
          <t>Admixture (kg/m3)</t>
        </is>
      </c>
      <c r="H4" s="17" t="inlineStr">
        <is>
          <t>W/C Ratio</t>
        </is>
      </c>
      <c r="I4" s="17" t="inlineStr">
        <is>
          <t>Selling Rate (₹/m3)</t>
        </is>
      </c>
    </row>
    <row r="5">
      <c r="A5" s="21" t="inlineStr">
        <is>
          <t>M15</t>
        </is>
      </c>
      <c r="B5" s="22" t="n">
        <v>320</v>
      </c>
      <c r="C5" s="22" t="n">
        <v>750</v>
      </c>
      <c r="D5" s="22" t="n">
        <v>700</v>
      </c>
      <c r="E5" s="22" t="n">
        <v>480</v>
      </c>
      <c r="F5" s="22" t="n">
        <v>160</v>
      </c>
      <c r="G5" s="22" t="n">
        <v>1.6</v>
      </c>
      <c r="H5" s="23">
        <f>IF(B5="","",ROUND(F5/B5,2))</f>
        <v/>
      </c>
      <c r="I5" s="24" t="n">
        <v>4200</v>
      </c>
    </row>
    <row r="6">
      <c r="A6" s="21" t="inlineStr">
        <is>
          <t>M20</t>
        </is>
      </c>
      <c r="B6" s="22" t="n">
        <v>360</v>
      </c>
      <c r="C6" s="22" t="n">
        <v>720</v>
      </c>
      <c r="D6" s="22" t="n">
        <v>720</v>
      </c>
      <c r="E6" s="22" t="n">
        <v>480</v>
      </c>
      <c r="F6" s="22" t="n">
        <v>170</v>
      </c>
      <c r="G6" s="22" t="n">
        <v>2</v>
      </c>
      <c r="H6" s="23">
        <f>IF(B6="","",ROUND(F6/B6,2))</f>
        <v/>
      </c>
      <c r="I6" s="24" t="n">
        <v>4600</v>
      </c>
    </row>
    <row r="7">
      <c r="A7" s="21" t="inlineStr">
        <is>
          <t>M25</t>
        </is>
      </c>
      <c r="B7" s="22" t="n">
        <v>400</v>
      </c>
      <c r="C7" s="22" t="n">
        <v>690</v>
      </c>
      <c r="D7" s="22" t="n">
        <v>730</v>
      </c>
      <c r="E7" s="22" t="n">
        <v>490</v>
      </c>
      <c r="F7" s="22" t="n">
        <v>175</v>
      </c>
      <c r="G7" s="22" t="n">
        <v>2.4</v>
      </c>
      <c r="H7" s="23">
        <f>IF(B7="","",ROUND(F7/B7,2))</f>
        <v/>
      </c>
      <c r="I7" s="24" t="n">
        <v>5000</v>
      </c>
    </row>
    <row r="8">
      <c r="A8" s="21" t="inlineStr">
        <is>
          <t>M30</t>
        </is>
      </c>
      <c r="B8" s="22" t="n">
        <v>440</v>
      </c>
      <c r="C8" s="22" t="n">
        <v>660</v>
      </c>
      <c r="D8" s="22" t="n">
        <v>740</v>
      </c>
      <c r="E8" s="22" t="n">
        <v>500</v>
      </c>
      <c r="F8" s="22" t="n">
        <v>180</v>
      </c>
      <c r="G8" s="22" t="n">
        <v>3.1</v>
      </c>
      <c r="H8" s="23">
        <f>IF(B8="","",ROUND(F8/B8,2))</f>
        <v/>
      </c>
      <c r="I8" s="24" t="n">
        <v>5400</v>
      </c>
    </row>
    <row r="9">
      <c r="A9" s="21" t="inlineStr">
        <is>
          <t>M35</t>
        </is>
      </c>
      <c r="B9" s="22" t="n">
        <v>480</v>
      </c>
      <c r="C9" s="22" t="n">
        <v>630</v>
      </c>
      <c r="D9" s="22" t="n">
        <v>750</v>
      </c>
      <c r="E9" s="22" t="n">
        <v>510</v>
      </c>
      <c r="F9" s="22" t="n">
        <v>185</v>
      </c>
      <c r="G9" s="22" t="n">
        <v>3.8</v>
      </c>
      <c r="H9" s="23">
        <f>IF(B9="","",ROUND(F9/B9,2))</f>
        <v/>
      </c>
      <c r="I9" s="24" t="n">
        <v>5900</v>
      </c>
    </row>
    <row r="10">
      <c r="A10" s="21" t="inlineStr">
        <is>
          <t>M40</t>
        </is>
      </c>
      <c r="B10" s="22" t="n">
        <v>520</v>
      </c>
      <c r="C10" s="22" t="n">
        <v>600</v>
      </c>
      <c r="D10" s="22" t="n">
        <v>760</v>
      </c>
      <c r="E10" s="22" t="n">
        <v>520</v>
      </c>
      <c r="F10" s="22" t="n">
        <v>190</v>
      </c>
      <c r="G10" s="22" t="n">
        <v>4.7</v>
      </c>
      <c r="H10" s="23">
        <f>IF(B10="","",ROUND(F10/B10,2))</f>
        <v/>
      </c>
      <c r="I10" s="24" t="n">
        <v>6400</v>
      </c>
    </row>
    <row r="11">
      <c r="A11" s="21" t="n"/>
      <c r="B11" s="22" t="n"/>
      <c r="C11" s="22" t="n"/>
      <c r="D11" s="22" t="n"/>
      <c r="E11" s="22" t="n"/>
      <c r="F11" s="22" t="n"/>
      <c r="G11" s="22" t="n"/>
      <c r="H11" s="23">
        <f>IF(B11="","",ROUND(F11/B11,2))</f>
        <v/>
      </c>
      <c r="I11" s="24" t="n"/>
    </row>
    <row r="12">
      <c r="A12" s="21" t="n"/>
      <c r="B12" s="22" t="n"/>
      <c r="C12" s="22" t="n"/>
      <c r="D12" s="22" t="n"/>
      <c r="E12" s="22" t="n"/>
      <c r="F12" s="22" t="n"/>
      <c r="G12" s="22" t="n"/>
      <c r="H12" s="23">
        <f>IF(B12="","",ROUND(F12/B12,2))</f>
        <v/>
      </c>
      <c r="I12" s="24" t="n"/>
    </row>
    <row r="13">
      <c r="A13" s="21" t="n"/>
      <c r="B13" s="22" t="n"/>
      <c r="C13" s="22" t="n"/>
      <c r="D13" s="22" t="n"/>
      <c r="E13" s="22" t="n"/>
      <c r="F13" s="22" t="n"/>
      <c r="G13" s="22" t="n"/>
      <c r="H13" s="23">
        <f>IF(B13="","",ROUND(F13/B13,2))</f>
        <v/>
      </c>
      <c r="I13" s="24" t="n"/>
    </row>
    <row r="14">
      <c r="A14" s="21" t="n"/>
      <c r="B14" s="22" t="n"/>
      <c r="C14" s="22" t="n"/>
      <c r="D14" s="22" t="n"/>
      <c r="E14" s="22" t="n"/>
      <c r="F14" s="22" t="n"/>
      <c r="G14" s="22" t="n"/>
      <c r="H14" s="23">
        <f>IF(B14="","",ROUND(F14/B14,2))</f>
        <v/>
      </c>
      <c r="I14" s="24" t="n"/>
    </row>
    <row r="15">
      <c r="A15" s="21" t="n"/>
      <c r="B15" s="22" t="n"/>
      <c r="C15" s="22" t="n"/>
      <c r="D15" s="22" t="n"/>
      <c r="E15" s="22" t="n"/>
      <c r="F15" s="22" t="n"/>
      <c r="G15" s="22" t="n"/>
      <c r="H15" s="23">
        <f>IF(B15="","",ROUND(F15/B15,2))</f>
        <v/>
      </c>
      <c r="I15" s="24" t="n"/>
    </row>
    <row r="16">
      <c r="A16" s="21" t="n"/>
      <c r="B16" s="22" t="n"/>
      <c r="C16" s="22" t="n"/>
      <c r="D16" s="22" t="n"/>
      <c r="E16" s="22" t="n"/>
      <c r="F16" s="22" t="n"/>
      <c r="G16" s="22" t="n"/>
      <c r="H16" s="23">
        <f>IF(B16="","",ROUND(F16/B16,2))</f>
        <v/>
      </c>
      <c r="I16" s="24" t="n"/>
    </row>
    <row r="17">
      <c r="A17" s="21" t="n"/>
      <c r="B17" s="22" t="n"/>
      <c r="C17" s="22" t="n"/>
      <c r="D17" s="22" t="n"/>
      <c r="E17" s="22" t="n"/>
      <c r="F17" s="22" t="n"/>
      <c r="G17" s="22" t="n"/>
      <c r="H17" s="23">
        <f>IF(B17="","",ROUND(F17/B17,2))</f>
        <v/>
      </c>
      <c r="I17" s="24" t="n"/>
    </row>
    <row r="18">
      <c r="A18" s="21" t="n"/>
      <c r="B18" s="22" t="n"/>
      <c r="C18" s="22" t="n"/>
      <c r="D18" s="22" t="n"/>
      <c r="E18" s="22" t="n"/>
      <c r="F18" s="22" t="n"/>
      <c r="G18" s="22" t="n"/>
      <c r="H18" s="23">
        <f>IF(B18="","",ROUND(F18/B18,2))</f>
        <v/>
      </c>
      <c r="I18" s="24" t="n"/>
    </row>
    <row r="19">
      <c r="A19" s="21" t="n"/>
      <c r="B19" s="22" t="n"/>
      <c r="C19" s="22" t="n"/>
      <c r="D19" s="22" t="n"/>
      <c r="E19" s="22" t="n"/>
      <c r="F19" s="22" t="n"/>
      <c r="G19" s="22" t="n"/>
      <c r="H19" s="23">
        <f>IF(B19="","",ROUND(F19/B19,2))</f>
        <v/>
      </c>
      <c r="I19" s="24" t="n"/>
    </row>
    <row r="20">
      <c r="A20" s="21" t="n"/>
      <c r="B20" s="22" t="n"/>
      <c r="C20" s="22" t="n"/>
      <c r="D20" s="22" t="n"/>
      <c r="E20" s="22" t="n"/>
      <c r="F20" s="22" t="n"/>
      <c r="G20" s="22" t="n"/>
      <c r="H20" s="23">
        <f>IF(B20="","",ROUND(F20/B20,2))</f>
        <v/>
      </c>
      <c r="I20" s="24" t="n"/>
    </row>
    <row r="21">
      <c r="A21" s="21" t="n"/>
      <c r="B21" s="22" t="n"/>
      <c r="C21" s="22" t="n"/>
      <c r="D21" s="22" t="n"/>
      <c r="E21" s="22" t="n"/>
      <c r="F21" s="22" t="n"/>
      <c r="G21" s="22" t="n"/>
      <c r="H21" s="23">
        <f>IF(B21="","",ROUND(F21/B21,2))</f>
        <v/>
      </c>
      <c r="I21" s="24" t="n"/>
    </row>
    <row r="22">
      <c r="A22" s="21" t="n"/>
      <c r="B22" s="22" t="n"/>
      <c r="C22" s="22" t="n"/>
      <c r="D22" s="22" t="n"/>
      <c r="E22" s="22" t="n"/>
      <c r="F22" s="22" t="n"/>
      <c r="G22" s="22" t="n"/>
      <c r="H22" s="23">
        <f>IF(B22="","",ROUND(F22/B22,2))</f>
        <v/>
      </c>
      <c r="I22" s="24" t="n"/>
    </row>
    <row r="23">
      <c r="A23" s="21" t="n"/>
      <c r="B23" s="22" t="n"/>
      <c r="C23" s="22" t="n"/>
      <c r="D23" s="22" t="n"/>
      <c r="E23" s="22" t="n"/>
      <c r="F23" s="22" t="n"/>
      <c r="G23" s="22" t="n"/>
      <c r="H23" s="23">
        <f>IF(B23="","",ROUND(F23/B23,2))</f>
        <v/>
      </c>
      <c r="I23" s="24" t="n"/>
    </row>
    <row r="24">
      <c r="A24" s="21" t="n"/>
      <c r="B24" s="22" t="n"/>
      <c r="C24" s="22" t="n"/>
      <c r="D24" s="22" t="n"/>
      <c r="E24" s="22" t="n"/>
      <c r="F24" s="22" t="n"/>
      <c r="G24" s="22" t="n"/>
      <c r="H24" s="23">
        <f>IF(B24="","",ROUND(F24/B24,2))</f>
        <v/>
      </c>
      <c r="I24" s="24" t="n"/>
    </row>
    <row r="25">
      <c r="A25" s="21" t="n"/>
      <c r="B25" s="22" t="n"/>
      <c r="C25" s="22" t="n"/>
      <c r="D25" s="22" t="n"/>
      <c r="E25" s="22" t="n"/>
      <c r="F25" s="22" t="n"/>
      <c r="G25" s="22" t="n"/>
      <c r="H25" s="23">
        <f>IF(B25="","",ROUND(F25/B25,2))</f>
        <v/>
      </c>
      <c r="I25" s="24" t="n"/>
    </row>
    <row r="26">
      <c r="A26" s="21" t="n"/>
      <c r="B26" s="22" t="n"/>
      <c r="C26" s="22" t="n"/>
      <c r="D26" s="22" t="n"/>
      <c r="E26" s="22" t="n"/>
      <c r="F26" s="22" t="n"/>
      <c r="G26" s="22" t="n"/>
      <c r="H26" s="23">
        <f>IF(B26="","",ROUND(F26/B26,2))</f>
        <v/>
      </c>
      <c r="I26" s="24" t="n"/>
    </row>
    <row r="27">
      <c r="A27" s="21" t="n"/>
      <c r="B27" s="22" t="n"/>
      <c r="C27" s="22" t="n"/>
      <c r="D27" s="22" t="n"/>
      <c r="E27" s="22" t="n"/>
      <c r="F27" s="22" t="n"/>
      <c r="G27" s="22" t="n"/>
      <c r="H27" s="23">
        <f>IF(B27="","",ROUND(F27/B27,2))</f>
        <v/>
      </c>
      <c r="I27" s="24" t="n"/>
    </row>
    <row r="28">
      <c r="A28" s="21" t="n"/>
      <c r="B28" s="22" t="n"/>
      <c r="C28" s="22" t="n"/>
      <c r="D28" s="22" t="n"/>
      <c r="E28" s="22" t="n"/>
      <c r="F28" s="22" t="n"/>
      <c r="G28" s="22" t="n"/>
      <c r="H28" s="23">
        <f>IF(B28="","",ROUND(F28/B28,2))</f>
        <v/>
      </c>
      <c r="I28" s="24" t="n"/>
    </row>
    <row r="29">
      <c r="A29" s="21" t="n"/>
      <c r="B29" s="22" t="n"/>
      <c r="C29" s="22" t="n"/>
      <c r="D29" s="22" t="n"/>
      <c r="E29" s="22" t="n"/>
      <c r="F29" s="22" t="n"/>
      <c r="G29" s="22" t="n"/>
      <c r="H29" s="23">
        <f>IF(B29="","",ROUND(F29/B29,2))</f>
        <v/>
      </c>
      <c r="I29" s="24" t="n"/>
    </row>
    <row r="30">
      <c r="A30" s="21" t="n"/>
      <c r="B30" s="22" t="n"/>
      <c r="C30" s="22" t="n"/>
      <c r="D30" s="22" t="n"/>
      <c r="E30" s="22" t="n"/>
      <c r="F30" s="22" t="n"/>
      <c r="G30" s="22" t="n"/>
      <c r="H30" s="23">
        <f>IF(B30="","",ROUND(F30/B30,2))</f>
        <v/>
      </c>
      <c r="I30" s="24" t="n"/>
    </row>
    <row r="31">
      <c r="A31" s="21" t="n"/>
      <c r="B31" s="22" t="n"/>
      <c r="C31" s="22" t="n"/>
      <c r="D31" s="22" t="n"/>
      <c r="E31" s="22" t="n"/>
      <c r="F31" s="22" t="n"/>
      <c r="G31" s="22" t="n"/>
      <c r="H31" s="23">
        <f>IF(B31="","",ROUND(F31/B31,2))</f>
        <v/>
      </c>
      <c r="I31" s="24" t="n"/>
    </row>
    <row r="32">
      <c r="A32" s="21" t="n"/>
      <c r="B32" s="22" t="n"/>
      <c r="C32" s="22" t="n"/>
      <c r="D32" s="22" t="n"/>
      <c r="E32" s="22" t="n"/>
      <c r="F32" s="22" t="n"/>
      <c r="G32" s="22" t="n"/>
      <c r="H32" s="23">
        <f>IF(B32="","",ROUND(F32/B32,2))</f>
        <v/>
      </c>
      <c r="I32" s="24" t="n"/>
    </row>
    <row r="33">
      <c r="A33" s="21" t="n"/>
      <c r="B33" s="22" t="n"/>
      <c r="C33" s="22" t="n"/>
      <c r="D33" s="22" t="n"/>
      <c r="E33" s="22" t="n"/>
      <c r="F33" s="22" t="n"/>
      <c r="G33" s="22" t="n"/>
      <c r="H33" s="23">
        <f>IF(B33="","",ROUND(F33/B33,2))</f>
        <v/>
      </c>
      <c r="I33" s="24" t="n"/>
    </row>
    <row r="34">
      <c r="A34" s="21" t="n"/>
      <c r="B34" s="22" t="n"/>
      <c r="C34" s="22" t="n"/>
      <c r="D34" s="22" t="n"/>
      <c r="E34" s="22" t="n"/>
      <c r="F34" s="22" t="n"/>
      <c r="G34" s="22" t="n"/>
      <c r="H34" s="23">
        <f>IF(B34="","",ROUND(F34/B34,2))</f>
        <v/>
      </c>
      <c r="I34" s="24" t="n"/>
    </row>
    <row r="35">
      <c r="A35" s="21" t="n"/>
      <c r="B35" s="22" t="n"/>
      <c r="C35" s="22" t="n"/>
      <c r="D35" s="22" t="n"/>
      <c r="E35" s="22" t="n"/>
      <c r="F35" s="22" t="n"/>
      <c r="G35" s="22" t="n"/>
      <c r="H35" s="23">
        <f>IF(B35="","",ROUND(F35/B35,2))</f>
        <v/>
      </c>
      <c r="I35" s="24" t="n"/>
    </row>
    <row r="36">
      <c r="A36" s="21" t="n"/>
      <c r="B36" s="22" t="n"/>
      <c r="C36" s="22" t="n"/>
      <c r="D36" s="22" t="n"/>
      <c r="E36" s="22" t="n"/>
      <c r="F36" s="22" t="n"/>
      <c r="G36" s="22" t="n"/>
      <c r="H36" s="23">
        <f>IF(B36="","",ROUND(F36/B36,2))</f>
        <v/>
      </c>
      <c r="I36" s="24" t="n"/>
    </row>
    <row r="37">
      <c r="A37" s="21" t="n"/>
      <c r="B37" s="22" t="n"/>
      <c r="C37" s="22" t="n"/>
      <c r="D37" s="22" t="n"/>
      <c r="E37" s="22" t="n"/>
      <c r="F37" s="22" t="n"/>
      <c r="G37" s="22" t="n"/>
      <c r="H37" s="23">
        <f>IF(B37="","",ROUND(F37/B37,2))</f>
        <v/>
      </c>
      <c r="I37" s="24" t="n"/>
    </row>
    <row r="38">
      <c r="A38" s="21" t="n"/>
      <c r="B38" s="22" t="n"/>
      <c r="C38" s="22" t="n"/>
      <c r="D38" s="22" t="n"/>
      <c r="E38" s="22" t="n"/>
      <c r="F38" s="22" t="n"/>
      <c r="G38" s="22" t="n"/>
      <c r="H38" s="23">
        <f>IF(B38="","",ROUND(F38/B38,2))</f>
        <v/>
      </c>
      <c r="I38" s="24" t="n"/>
    </row>
    <row r="39">
      <c r="A39" s="21" t="n"/>
      <c r="B39" s="22" t="n"/>
      <c r="C39" s="22" t="n"/>
      <c r="D39" s="22" t="n"/>
      <c r="E39" s="22" t="n"/>
      <c r="F39" s="22" t="n"/>
      <c r="G39" s="22" t="n"/>
      <c r="H39" s="23">
        <f>IF(B39="","",ROUND(F39/B39,2))</f>
        <v/>
      </c>
      <c r="I39" s="24" t="n"/>
    </row>
    <row r="40">
      <c r="A40" s="21" t="n"/>
      <c r="B40" s="22" t="n"/>
      <c r="C40" s="22" t="n"/>
      <c r="D40" s="22" t="n"/>
      <c r="E40" s="22" t="n"/>
      <c r="F40" s="22" t="n"/>
      <c r="G40" s="22" t="n"/>
      <c r="H40" s="23">
        <f>IF(B40="","",ROUND(F40/B40,2))</f>
        <v/>
      </c>
      <c r="I40" s="24" t="n"/>
    </row>
    <row r="41">
      <c r="A41" s="21" t="n"/>
      <c r="B41" s="22" t="n"/>
      <c r="C41" s="22" t="n"/>
      <c r="D41" s="22" t="n"/>
      <c r="E41" s="22" t="n"/>
      <c r="F41" s="22" t="n"/>
      <c r="G41" s="22" t="n"/>
      <c r="H41" s="23">
        <f>IF(B41="","",ROUND(F41/B41,2))</f>
        <v/>
      </c>
      <c r="I41" s="24" t="n"/>
    </row>
    <row r="42">
      <c r="A42" s="21" t="n"/>
      <c r="B42" s="22" t="n"/>
      <c r="C42" s="22" t="n"/>
      <c r="D42" s="22" t="n"/>
      <c r="E42" s="22" t="n"/>
      <c r="F42" s="22" t="n"/>
      <c r="G42" s="22" t="n"/>
      <c r="H42" s="23">
        <f>IF(B42="","",ROUND(F42/B42,2))</f>
        <v/>
      </c>
      <c r="I42" s="24" t="n"/>
    </row>
    <row r="43">
      <c r="A43" s="21" t="n"/>
      <c r="B43" s="22" t="n"/>
      <c r="C43" s="22" t="n"/>
      <c r="D43" s="22" t="n"/>
      <c r="E43" s="22" t="n"/>
      <c r="F43" s="22" t="n"/>
      <c r="G43" s="22" t="n"/>
      <c r="H43" s="23">
        <f>IF(B43="","",ROUND(F43/B43,2))</f>
        <v/>
      </c>
      <c r="I43" s="24" t="n"/>
    </row>
    <row r="44">
      <c r="A44" s="21" t="n"/>
      <c r="B44" s="22" t="n"/>
      <c r="C44" s="22" t="n"/>
      <c r="D44" s="22" t="n"/>
      <c r="E44" s="22" t="n"/>
      <c r="F44" s="22" t="n"/>
      <c r="G44" s="22" t="n"/>
      <c r="H44" s="23">
        <f>IF(B44="","",ROUND(F44/B44,2))</f>
        <v/>
      </c>
      <c r="I44" s="24" t="n"/>
    </row>
    <row r="45">
      <c r="A45" s="21" t="n"/>
      <c r="B45" s="22" t="n"/>
      <c r="C45" s="22" t="n"/>
      <c r="D45" s="22" t="n"/>
      <c r="E45" s="22" t="n"/>
      <c r="F45" s="22" t="n"/>
      <c r="G45" s="22" t="n"/>
      <c r="H45" s="23">
        <f>IF(B45="","",ROUND(F45/B45,2))</f>
        <v/>
      </c>
      <c r="I45" s="24" t="n"/>
    </row>
    <row r="46">
      <c r="A46" s="21" t="n"/>
      <c r="B46" s="22" t="n"/>
      <c r="C46" s="22" t="n"/>
      <c r="D46" s="22" t="n"/>
      <c r="E46" s="22" t="n"/>
      <c r="F46" s="22" t="n"/>
      <c r="G46" s="22" t="n"/>
      <c r="H46" s="23">
        <f>IF(B46="","",ROUND(F46/B46,2))</f>
        <v/>
      </c>
      <c r="I46" s="24" t="n"/>
    </row>
    <row r="47">
      <c r="A47" s="21" t="n"/>
      <c r="B47" s="22" t="n"/>
      <c r="C47" s="22" t="n"/>
      <c r="D47" s="22" t="n"/>
      <c r="E47" s="22" t="n"/>
      <c r="F47" s="22" t="n"/>
      <c r="G47" s="22" t="n"/>
      <c r="H47" s="23">
        <f>IF(B47="","",ROUND(F47/B47,2))</f>
        <v/>
      </c>
      <c r="I47" s="24" t="n"/>
    </row>
    <row r="48">
      <c r="A48" s="21" t="n"/>
      <c r="B48" s="22" t="n"/>
      <c r="C48" s="22" t="n"/>
      <c r="D48" s="22" t="n"/>
      <c r="E48" s="22" t="n"/>
      <c r="F48" s="22" t="n"/>
      <c r="G48" s="22" t="n"/>
      <c r="H48" s="23">
        <f>IF(B48="","",ROUND(F48/B48,2))</f>
        <v/>
      </c>
      <c r="I48" s="24" t="n"/>
    </row>
    <row r="49">
      <c r="A49" s="21" t="n"/>
      <c r="B49" s="22" t="n"/>
      <c r="C49" s="22" t="n"/>
      <c r="D49" s="22" t="n"/>
      <c r="E49" s="22" t="n"/>
      <c r="F49" s="22" t="n"/>
      <c r="G49" s="22" t="n"/>
      <c r="H49" s="23">
        <f>IF(B49="","",ROUND(F49/B49,2))</f>
        <v/>
      </c>
      <c r="I49" s="24" t="n"/>
    </row>
    <row r="50">
      <c r="A50" s="21" t="n"/>
      <c r="B50" s="22" t="n"/>
      <c r="C50" s="22" t="n"/>
      <c r="D50" s="22" t="n"/>
      <c r="E50" s="22" t="n"/>
      <c r="F50" s="22" t="n"/>
      <c r="G50" s="22" t="n"/>
      <c r="H50" s="23">
        <f>IF(B50="","",ROUND(F50/B50,2))</f>
        <v/>
      </c>
      <c r="I50" s="24" t="n"/>
    </row>
    <row r="51">
      <c r="A51" s="21" t="n"/>
      <c r="B51" s="22" t="n"/>
      <c r="C51" s="22" t="n"/>
      <c r="D51" s="22" t="n"/>
      <c r="E51" s="22" t="n"/>
      <c r="F51" s="22" t="n"/>
      <c r="G51" s="22" t="n"/>
      <c r="H51" s="23">
        <f>IF(B51="","",ROUND(F51/B51,2))</f>
        <v/>
      </c>
      <c r="I51" s="24" t="n"/>
    </row>
    <row r="52">
      <c r="A52" s="21" t="n"/>
      <c r="B52" s="22" t="n"/>
      <c r="C52" s="22" t="n"/>
      <c r="D52" s="22" t="n"/>
      <c r="E52" s="22" t="n"/>
      <c r="F52" s="22" t="n"/>
      <c r="G52" s="22" t="n"/>
      <c r="H52" s="23">
        <f>IF(B52="","",ROUND(F52/B52,2))</f>
        <v/>
      </c>
      <c r="I52" s="24" t="n"/>
    </row>
    <row r="53">
      <c r="A53" s="21" t="n"/>
      <c r="B53" s="22" t="n"/>
      <c r="C53" s="22" t="n"/>
      <c r="D53" s="22" t="n"/>
      <c r="E53" s="22" t="n"/>
      <c r="F53" s="22" t="n"/>
      <c r="G53" s="22" t="n"/>
      <c r="H53" s="23">
        <f>IF(B53="","",ROUND(F53/B53,2))</f>
        <v/>
      </c>
      <c r="I53" s="24" t="n"/>
    </row>
    <row r="54">
      <c r="A54" s="21" t="n"/>
      <c r="B54" s="22" t="n"/>
      <c r="C54" s="22" t="n"/>
      <c r="D54" s="22" t="n"/>
      <c r="E54" s="22" t="n"/>
      <c r="F54" s="22" t="n"/>
      <c r="G54" s="22" t="n"/>
      <c r="H54" s="23">
        <f>IF(B54="","",ROUND(F54/B54,2))</f>
        <v/>
      </c>
      <c r="I54" s="24" t="n"/>
    </row>
    <row r="55">
      <c r="A55" s="21" t="n"/>
      <c r="B55" s="22" t="n"/>
      <c r="C55" s="22" t="n"/>
      <c r="D55" s="22" t="n"/>
      <c r="E55" s="22" t="n"/>
      <c r="F55" s="22" t="n"/>
      <c r="G55" s="22" t="n"/>
      <c r="H55" s="23">
        <f>IF(B55="","",ROUND(F55/B55,2))</f>
        <v/>
      </c>
      <c r="I55" s="24" t="n"/>
    </row>
    <row r="56">
      <c r="A56" s="21" t="n"/>
      <c r="B56" s="22" t="n"/>
      <c r="C56" s="22" t="n"/>
      <c r="D56" s="22" t="n"/>
      <c r="E56" s="22" t="n"/>
      <c r="F56" s="22" t="n"/>
      <c r="G56" s="22" t="n"/>
      <c r="H56" s="23">
        <f>IF(B56="","",ROUND(F56/B56,2))</f>
        <v/>
      </c>
      <c r="I56" s="24" t="n"/>
    </row>
    <row r="57">
      <c r="A57" s="21" t="n"/>
      <c r="B57" s="22" t="n"/>
      <c r="C57" s="22" t="n"/>
      <c r="D57" s="22" t="n"/>
      <c r="E57" s="22" t="n"/>
      <c r="F57" s="22" t="n"/>
      <c r="G57" s="22" t="n"/>
      <c r="H57" s="23">
        <f>IF(B57="","",ROUND(F57/B57,2))</f>
        <v/>
      </c>
      <c r="I57" s="24" t="n"/>
    </row>
    <row r="58">
      <c r="A58" s="21" t="n"/>
      <c r="B58" s="22" t="n"/>
      <c r="C58" s="22" t="n"/>
      <c r="D58" s="22" t="n"/>
      <c r="E58" s="22" t="n"/>
      <c r="F58" s="22" t="n"/>
      <c r="G58" s="22" t="n"/>
      <c r="H58" s="23">
        <f>IF(B58="","",ROUND(F58/B58,2))</f>
        <v/>
      </c>
      <c r="I58" s="24" t="n"/>
    </row>
    <row r="59">
      <c r="A59" s="21" t="n"/>
      <c r="B59" s="22" t="n"/>
      <c r="C59" s="22" t="n"/>
      <c r="D59" s="22" t="n"/>
      <c r="E59" s="22" t="n"/>
      <c r="F59" s="22" t="n"/>
      <c r="G59" s="22" t="n"/>
      <c r="H59" s="23">
        <f>IF(B59="","",ROUND(F59/B59,2))</f>
        <v/>
      </c>
      <c r="I59" s="24" t="n"/>
    </row>
    <row r="60">
      <c r="A60" s="21" t="n"/>
      <c r="B60" s="22" t="n"/>
      <c r="C60" s="22" t="n"/>
      <c r="D60" s="22" t="n"/>
      <c r="E60" s="22" t="n"/>
      <c r="F60" s="22" t="n"/>
      <c r="G60" s="22" t="n"/>
      <c r="H60" s="23">
        <f>IF(B60="","",ROUND(F60/B60,2))</f>
        <v/>
      </c>
      <c r="I60" s="24" t="n"/>
    </row>
    <row r="61">
      <c r="A61" s="21" t="n"/>
      <c r="B61" s="22" t="n"/>
      <c r="C61" s="22" t="n"/>
      <c r="D61" s="22" t="n"/>
      <c r="E61" s="22" t="n"/>
      <c r="F61" s="22" t="n"/>
      <c r="G61" s="22" t="n"/>
      <c r="H61" s="23">
        <f>IF(B61="","",ROUND(F61/B61,2))</f>
        <v/>
      </c>
      <c r="I61" s="24" t="n"/>
    </row>
    <row r="62">
      <c r="A62" s="21" t="n"/>
      <c r="B62" s="22" t="n"/>
      <c r="C62" s="22" t="n"/>
      <c r="D62" s="22" t="n"/>
      <c r="E62" s="22" t="n"/>
      <c r="F62" s="22" t="n"/>
      <c r="G62" s="22" t="n"/>
      <c r="H62" s="23">
        <f>IF(B62="","",ROUND(F62/B62,2))</f>
        <v/>
      </c>
      <c r="I62" s="24" t="n"/>
    </row>
    <row r="63">
      <c r="A63" s="21" t="n"/>
      <c r="B63" s="22" t="n"/>
      <c r="C63" s="22" t="n"/>
      <c r="D63" s="22" t="n"/>
      <c r="E63" s="22" t="n"/>
      <c r="F63" s="22" t="n"/>
      <c r="G63" s="22" t="n"/>
      <c r="H63" s="23">
        <f>IF(B63="","",ROUND(F63/B63,2))</f>
        <v/>
      </c>
      <c r="I63" s="24" t="n"/>
    </row>
    <row r="64">
      <c r="A64" s="21" t="n"/>
      <c r="B64" s="22" t="n"/>
      <c r="C64" s="22" t="n"/>
      <c r="D64" s="22" t="n"/>
      <c r="E64" s="22" t="n"/>
      <c r="F64" s="22" t="n"/>
      <c r="G64" s="22" t="n"/>
      <c r="H64" s="23">
        <f>IF(B64="","",ROUND(F64/B64,2))</f>
        <v/>
      </c>
      <c r="I64" s="24" t="n"/>
    </row>
    <row r="65">
      <c r="A65" s="21" t="n"/>
      <c r="B65" s="22" t="n"/>
      <c r="C65" s="22" t="n"/>
      <c r="D65" s="22" t="n"/>
      <c r="E65" s="22" t="n"/>
      <c r="F65" s="22" t="n"/>
      <c r="G65" s="22" t="n"/>
      <c r="H65" s="23">
        <f>IF(B65="","",ROUND(F65/B65,2))</f>
        <v/>
      </c>
      <c r="I65" s="24" t="n"/>
    </row>
    <row r="66">
      <c r="A66" s="21" t="n"/>
      <c r="B66" s="22" t="n"/>
      <c r="C66" s="22" t="n"/>
      <c r="D66" s="22" t="n"/>
      <c r="E66" s="22" t="n"/>
      <c r="F66" s="22" t="n"/>
      <c r="G66" s="22" t="n"/>
      <c r="H66" s="23">
        <f>IF(B66="","",ROUND(F66/B66,2))</f>
        <v/>
      </c>
      <c r="I66" s="24" t="n"/>
    </row>
    <row r="67">
      <c r="A67" s="21" t="n"/>
      <c r="B67" s="22" t="n"/>
      <c r="C67" s="22" t="n"/>
      <c r="D67" s="22" t="n"/>
      <c r="E67" s="22" t="n"/>
      <c r="F67" s="22" t="n"/>
      <c r="G67" s="22" t="n"/>
      <c r="H67" s="23">
        <f>IF(B67="","",ROUND(F67/B67,2))</f>
        <v/>
      </c>
      <c r="I67" s="24" t="n"/>
    </row>
    <row r="68">
      <c r="A68" s="21" t="n"/>
      <c r="B68" s="22" t="n"/>
      <c r="C68" s="22" t="n"/>
      <c r="D68" s="22" t="n"/>
      <c r="E68" s="22" t="n"/>
      <c r="F68" s="22" t="n"/>
      <c r="G68" s="22" t="n"/>
      <c r="H68" s="23">
        <f>IF(B68="","",ROUND(F68/B68,2))</f>
        <v/>
      </c>
      <c r="I68" s="24" t="n"/>
    </row>
    <row r="69">
      <c r="A69" s="21" t="n"/>
      <c r="B69" s="22" t="n"/>
      <c r="C69" s="22" t="n"/>
      <c r="D69" s="22" t="n"/>
      <c r="E69" s="22" t="n"/>
      <c r="F69" s="22" t="n"/>
      <c r="G69" s="22" t="n"/>
      <c r="H69" s="23">
        <f>IF(B69="","",ROUND(F69/B69,2))</f>
        <v/>
      </c>
      <c r="I69" s="24" t="n"/>
    </row>
    <row r="70">
      <c r="A70" s="21" t="n"/>
      <c r="B70" s="22" t="n"/>
      <c r="C70" s="22" t="n"/>
      <c r="D70" s="22" t="n"/>
      <c r="E70" s="22" t="n"/>
      <c r="F70" s="22" t="n"/>
      <c r="G70" s="22" t="n"/>
      <c r="H70" s="23">
        <f>IF(B70="","",ROUND(F70/B70,2))</f>
        <v/>
      </c>
      <c r="I70" s="24" t="n"/>
    </row>
    <row r="71">
      <c r="A71" s="21" t="n"/>
      <c r="B71" s="22" t="n"/>
      <c r="C71" s="22" t="n"/>
      <c r="D71" s="22" t="n"/>
      <c r="E71" s="22" t="n"/>
      <c r="F71" s="22" t="n"/>
      <c r="G71" s="22" t="n"/>
      <c r="H71" s="23">
        <f>IF(B71="","",ROUND(F71/B71,2))</f>
        <v/>
      </c>
      <c r="I71" s="24" t="n"/>
    </row>
    <row r="72">
      <c r="A72" s="21" t="n"/>
      <c r="B72" s="22" t="n"/>
      <c r="C72" s="22" t="n"/>
      <c r="D72" s="22" t="n"/>
      <c r="E72" s="22" t="n"/>
      <c r="F72" s="22" t="n"/>
      <c r="G72" s="22" t="n"/>
      <c r="H72" s="23">
        <f>IF(B72="","",ROUND(F72/B72,2))</f>
        <v/>
      </c>
      <c r="I72" s="24" t="n"/>
    </row>
    <row r="73">
      <c r="A73" s="21" t="n"/>
      <c r="B73" s="22" t="n"/>
      <c r="C73" s="22" t="n"/>
      <c r="D73" s="22" t="n"/>
      <c r="E73" s="22" t="n"/>
      <c r="F73" s="22" t="n"/>
      <c r="G73" s="22" t="n"/>
      <c r="H73" s="23">
        <f>IF(B73="","",ROUND(F73/B73,2))</f>
        <v/>
      </c>
      <c r="I73" s="24" t="n"/>
    </row>
    <row r="74">
      <c r="A74" s="21" t="n"/>
      <c r="B74" s="22" t="n"/>
      <c r="C74" s="22" t="n"/>
      <c r="D74" s="22" t="n"/>
      <c r="E74" s="22" t="n"/>
      <c r="F74" s="22" t="n"/>
      <c r="G74" s="22" t="n"/>
      <c r="H74" s="23">
        <f>IF(B74="","",ROUND(F74/B74,2))</f>
        <v/>
      </c>
      <c r="I74" s="24" t="n"/>
    </row>
    <row r="75">
      <c r="A75" s="21" t="n"/>
      <c r="B75" s="22" t="n"/>
      <c r="C75" s="22" t="n"/>
      <c r="D75" s="22" t="n"/>
      <c r="E75" s="22" t="n"/>
      <c r="F75" s="22" t="n"/>
      <c r="G75" s="22" t="n"/>
      <c r="H75" s="23">
        <f>IF(B75="","",ROUND(F75/B75,2))</f>
        <v/>
      </c>
      <c r="I75" s="24" t="n"/>
    </row>
    <row r="76">
      <c r="A76" s="21" t="n"/>
      <c r="B76" s="22" t="n"/>
      <c r="C76" s="22" t="n"/>
      <c r="D76" s="22" t="n"/>
      <c r="E76" s="22" t="n"/>
      <c r="F76" s="22" t="n"/>
      <c r="G76" s="22" t="n"/>
      <c r="H76" s="23">
        <f>IF(B76="","",ROUND(F76/B76,2))</f>
        <v/>
      </c>
      <c r="I76" s="24" t="n"/>
    </row>
    <row r="77">
      <c r="A77" s="21" t="n"/>
      <c r="B77" s="22" t="n"/>
      <c r="C77" s="22" t="n"/>
      <c r="D77" s="22" t="n"/>
      <c r="E77" s="22" t="n"/>
      <c r="F77" s="22" t="n"/>
      <c r="G77" s="22" t="n"/>
      <c r="H77" s="23">
        <f>IF(B77="","",ROUND(F77/B77,2))</f>
        <v/>
      </c>
      <c r="I77" s="24" t="n"/>
    </row>
    <row r="78">
      <c r="A78" s="21" t="n"/>
      <c r="B78" s="22" t="n"/>
      <c r="C78" s="22" t="n"/>
      <c r="D78" s="22" t="n"/>
      <c r="E78" s="22" t="n"/>
      <c r="F78" s="22" t="n"/>
      <c r="G78" s="22" t="n"/>
      <c r="H78" s="23">
        <f>IF(B78="","",ROUND(F78/B78,2))</f>
        <v/>
      </c>
      <c r="I78" s="24" t="n"/>
    </row>
    <row r="79">
      <c r="A79" s="21" t="n"/>
      <c r="B79" s="22" t="n"/>
      <c r="C79" s="22" t="n"/>
      <c r="D79" s="22" t="n"/>
      <c r="E79" s="22" t="n"/>
      <c r="F79" s="22" t="n"/>
      <c r="G79" s="22" t="n"/>
      <c r="H79" s="23">
        <f>IF(B79="","",ROUND(F79/B79,2))</f>
        <v/>
      </c>
      <c r="I79" s="24" t="n"/>
    </row>
    <row r="80">
      <c r="A80" s="21" t="n"/>
      <c r="B80" s="22" t="n"/>
      <c r="C80" s="22" t="n"/>
      <c r="D80" s="22" t="n"/>
      <c r="E80" s="22" t="n"/>
      <c r="F80" s="22" t="n"/>
      <c r="G80" s="22" t="n"/>
      <c r="H80" s="23">
        <f>IF(B80="","",ROUND(F80/B80,2))</f>
        <v/>
      </c>
      <c r="I80" s="24" t="n"/>
    </row>
    <row r="81">
      <c r="A81" s="21" t="n"/>
      <c r="B81" s="22" t="n"/>
      <c r="C81" s="22" t="n"/>
      <c r="D81" s="22" t="n"/>
      <c r="E81" s="22" t="n"/>
      <c r="F81" s="22" t="n"/>
      <c r="G81" s="22" t="n"/>
      <c r="H81" s="23">
        <f>IF(B81="","",ROUND(F81/B81,2))</f>
        <v/>
      </c>
      <c r="I81" s="24" t="n"/>
    </row>
    <row r="82">
      <c r="A82" s="21" t="n"/>
      <c r="B82" s="22" t="n"/>
      <c r="C82" s="22" t="n"/>
      <c r="D82" s="22" t="n"/>
      <c r="E82" s="22" t="n"/>
      <c r="F82" s="22" t="n"/>
      <c r="G82" s="22" t="n"/>
      <c r="H82" s="23">
        <f>IF(B82="","",ROUND(F82/B82,2))</f>
        <v/>
      </c>
      <c r="I82" s="24" t="n"/>
    </row>
    <row r="83">
      <c r="A83" s="21" t="n"/>
      <c r="B83" s="22" t="n"/>
      <c r="C83" s="22" t="n"/>
      <c r="D83" s="22" t="n"/>
      <c r="E83" s="22" t="n"/>
      <c r="F83" s="22" t="n"/>
      <c r="G83" s="22" t="n"/>
      <c r="H83" s="23">
        <f>IF(B83="","",ROUND(F83/B83,2))</f>
        <v/>
      </c>
      <c r="I83" s="24" t="n"/>
    </row>
    <row r="84">
      <c r="A84" s="21" t="n"/>
      <c r="B84" s="22" t="n"/>
      <c r="C84" s="22" t="n"/>
      <c r="D84" s="22" t="n"/>
      <c r="E84" s="22" t="n"/>
      <c r="F84" s="22" t="n"/>
      <c r="G84" s="22" t="n"/>
      <c r="H84" s="23">
        <f>IF(B84="","",ROUND(F84/B84,2))</f>
        <v/>
      </c>
      <c r="I84" s="24" t="n"/>
    </row>
    <row r="85">
      <c r="A85" s="21" t="n"/>
      <c r="B85" s="22" t="n"/>
      <c r="C85" s="22" t="n"/>
      <c r="D85" s="22" t="n"/>
      <c r="E85" s="22" t="n"/>
      <c r="F85" s="22" t="n"/>
      <c r="G85" s="22" t="n"/>
      <c r="H85" s="23">
        <f>IF(B85="","",ROUND(F85/B85,2))</f>
        <v/>
      </c>
      <c r="I85" s="24" t="n"/>
    </row>
    <row r="86">
      <c r="A86" s="21" t="n"/>
      <c r="B86" s="22" t="n"/>
      <c r="C86" s="22" t="n"/>
      <c r="D86" s="22" t="n"/>
      <c r="E86" s="22" t="n"/>
      <c r="F86" s="22" t="n"/>
      <c r="G86" s="22" t="n"/>
      <c r="H86" s="23">
        <f>IF(B86="","",ROUND(F86/B86,2))</f>
        <v/>
      </c>
      <c r="I86" s="24" t="n"/>
    </row>
    <row r="87">
      <c r="A87" s="21" t="n"/>
      <c r="B87" s="22" t="n"/>
      <c r="C87" s="22" t="n"/>
      <c r="D87" s="22" t="n"/>
      <c r="E87" s="22" t="n"/>
      <c r="F87" s="22" t="n"/>
      <c r="G87" s="22" t="n"/>
      <c r="H87" s="23">
        <f>IF(B87="","",ROUND(F87/B87,2))</f>
        <v/>
      </c>
      <c r="I87" s="24" t="n"/>
    </row>
    <row r="88">
      <c r="A88" s="21" t="n"/>
      <c r="B88" s="22" t="n"/>
      <c r="C88" s="22" t="n"/>
      <c r="D88" s="22" t="n"/>
      <c r="E88" s="22" t="n"/>
      <c r="F88" s="22" t="n"/>
      <c r="G88" s="22" t="n"/>
      <c r="H88" s="23">
        <f>IF(B88="","",ROUND(F88/B88,2))</f>
        <v/>
      </c>
      <c r="I88" s="24" t="n"/>
    </row>
    <row r="89">
      <c r="A89" s="21" t="n"/>
      <c r="B89" s="22" t="n"/>
      <c r="C89" s="22" t="n"/>
      <c r="D89" s="22" t="n"/>
      <c r="E89" s="22" t="n"/>
      <c r="F89" s="22" t="n"/>
      <c r="G89" s="22" t="n"/>
      <c r="H89" s="23">
        <f>IF(B89="","",ROUND(F89/B89,2))</f>
        <v/>
      </c>
      <c r="I89" s="24" t="n"/>
    </row>
    <row r="90">
      <c r="A90" s="21" t="n"/>
      <c r="B90" s="22" t="n"/>
      <c r="C90" s="22" t="n"/>
      <c r="D90" s="22" t="n"/>
      <c r="E90" s="22" t="n"/>
      <c r="F90" s="22" t="n"/>
      <c r="G90" s="22" t="n"/>
      <c r="H90" s="23">
        <f>IF(B90="","",ROUND(F90/B90,2))</f>
        <v/>
      </c>
      <c r="I90" s="24" t="n"/>
    </row>
    <row r="91">
      <c r="A91" s="21" t="n"/>
      <c r="B91" s="22" t="n"/>
      <c r="C91" s="22" t="n"/>
      <c r="D91" s="22" t="n"/>
      <c r="E91" s="22" t="n"/>
      <c r="F91" s="22" t="n"/>
      <c r="G91" s="22" t="n"/>
      <c r="H91" s="23">
        <f>IF(B91="","",ROUND(F91/B91,2))</f>
        <v/>
      </c>
      <c r="I91" s="24" t="n"/>
    </row>
    <row r="92">
      <c r="A92" s="21" t="n"/>
      <c r="B92" s="22" t="n"/>
      <c r="C92" s="22" t="n"/>
      <c r="D92" s="22" t="n"/>
      <c r="E92" s="22" t="n"/>
      <c r="F92" s="22" t="n"/>
      <c r="G92" s="22" t="n"/>
      <c r="H92" s="23">
        <f>IF(B92="","",ROUND(F92/B92,2))</f>
        <v/>
      </c>
      <c r="I92" s="24" t="n"/>
    </row>
    <row r="93">
      <c r="A93" s="21" t="n"/>
      <c r="B93" s="22" t="n"/>
      <c r="C93" s="22" t="n"/>
      <c r="D93" s="22" t="n"/>
      <c r="E93" s="22" t="n"/>
      <c r="F93" s="22" t="n"/>
      <c r="G93" s="22" t="n"/>
      <c r="H93" s="23">
        <f>IF(B93="","",ROUND(F93/B93,2))</f>
        <v/>
      </c>
      <c r="I93" s="24" t="n"/>
    </row>
    <row r="94">
      <c r="A94" s="21" t="n"/>
      <c r="B94" s="22" t="n"/>
      <c r="C94" s="22" t="n"/>
      <c r="D94" s="22" t="n"/>
      <c r="E94" s="22" t="n"/>
      <c r="F94" s="22" t="n"/>
      <c r="G94" s="22" t="n"/>
      <c r="H94" s="23">
        <f>IF(B94="","",ROUND(F94/B94,2))</f>
        <v/>
      </c>
      <c r="I94" s="24" t="n"/>
    </row>
    <row r="95">
      <c r="A95" s="21" t="n"/>
      <c r="B95" s="22" t="n"/>
      <c r="C95" s="22" t="n"/>
      <c r="D95" s="22" t="n"/>
      <c r="E95" s="22" t="n"/>
      <c r="F95" s="22" t="n"/>
      <c r="G95" s="22" t="n"/>
      <c r="H95" s="23">
        <f>IF(B95="","",ROUND(F95/B95,2))</f>
        <v/>
      </c>
      <c r="I95" s="24" t="n"/>
    </row>
    <row r="96">
      <c r="A96" s="21" t="n"/>
      <c r="B96" s="22" t="n"/>
      <c r="C96" s="22" t="n"/>
      <c r="D96" s="22" t="n"/>
      <c r="E96" s="22" t="n"/>
      <c r="F96" s="22" t="n"/>
      <c r="G96" s="22" t="n"/>
      <c r="H96" s="23">
        <f>IF(B96="","",ROUND(F96/B96,2))</f>
        <v/>
      </c>
      <c r="I96" s="24" t="n"/>
    </row>
    <row r="97">
      <c r="A97" s="21" t="n"/>
      <c r="B97" s="22" t="n"/>
      <c r="C97" s="22" t="n"/>
      <c r="D97" s="22" t="n"/>
      <c r="E97" s="22" t="n"/>
      <c r="F97" s="22" t="n"/>
      <c r="G97" s="22" t="n"/>
      <c r="H97" s="23">
        <f>IF(B97="","",ROUND(F97/B97,2))</f>
        <v/>
      </c>
      <c r="I97" s="24" t="n"/>
    </row>
    <row r="98">
      <c r="A98" s="21" t="n"/>
      <c r="B98" s="22" t="n"/>
      <c r="C98" s="22" t="n"/>
      <c r="D98" s="22" t="n"/>
      <c r="E98" s="22" t="n"/>
      <c r="F98" s="22" t="n"/>
      <c r="G98" s="22" t="n"/>
      <c r="H98" s="23">
        <f>IF(B98="","",ROUND(F98/B98,2))</f>
        <v/>
      </c>
      <c r="I98" s="24" t="n"/>
    </row>
    <row r="99">
      <c r="A99" s="21" t="n"/>
      <c r="B99" s="22" t="n"/>
      <c r="C99" s="22" t="n"/>
      <c r="D99" s="22" t="n"/>
      <c r="E99" s="22" t="n"/>
      <c r="F99" s="22" t="n"/>
      <c r="G99" s="22" t="n"/>
      <c r="H99" s="23">
        <f>IF(B99="","",ROUND(F99/B99,2))</f>
        <v/>
      </c>
      <c r="I99" s="24" t="n"/>
    </row>
    <row r="100">
      <c r="A100" s="21" t="n"/>
      <c r="B100" s="22" t="n"/>
      <c r="C100" s="22" t="n"/>
      <c r="D100" s="22" t="n"/>
      <c r="E100" s="22" t="n"/>
      <c r="F100" s="22" t="n"/>
      <c r="G100" s="22" t="n"/>
      <c r="H100" s="23">
        <f>IF(B100="","",ROUND(F100/B100,2))</f>
        <v/>
      </c>
      <c r="I100" s="24" t="n"/>
    </row>
    <row r="101">
      <c r="A101" s="21" t="n"/>
      <c r="B101" s="22" t="n"/>
      <c r="C101" s="22" t="n"/>
      <c r="D101" s="22" t="n"/>
      <c r="E101" s="22" t="n"/>
      <c r="F101" s="22" t="n"/>
      <c r="G101" s="22" t="n"/>
      <c r="H101" s="23">
        <f>IF(B101="","",ROUND(F101/B101,2))</f>
        <v/>
      </c>
      <c r="I101" s="24" t="n"/>
    </row>
    <row r="102">
      <c r="A102" s="21" t="n"/>
      <c r="B102" s="22" t="n"/>
      <c r="C102" s="22" t="n"/>
      <c r="D102" s="22" t="n"/>
      <c r="E102" s="22" t="n"/>
      <c r="F102" s="22" t="n"/>
      <c r="G102" s="22" t="n"/>
      <c r="H102" s="23">
        <f>IF(B102="","",ROUND(F102/B102,2))</f>
        <v/>
      </c>
      <c r="I102" s="24" t="n"/>
    </row>
    <row r="103">
      <c r="A103" s="21" t="n"/>
      <c r="B103" s="22" t="n"/>
      <c r="C103" s="22" t="n"/>
      <c r="D103" s="22" t="n"/>
      <c r="E103" s="22" t="n"/>
      <c r="F103" s="22" t="n"/>
      <c r="G103" s="22" t="n"/>
      <c r="H103" s="23">
        <f>IF(B103="","",ROUND(F103/B103,2))</f>
        <v/>
      </c>
      <c r="I103" s="24" t="n"/>
    </row>
    <row r="104">
      <c r="A104" s="21" t="n"/>
      <c r="B104" s="22" t="n"/>
      <c r="C104" s="22" t="n"/>
      <c r="D104" s="22" t="n"/>
      <c r="E104" s="22" t="n"/>
      <c r="F104" s="22" t="n"/>
      <c r="G104" s="22" t="n"/>
      <c r="H104" s="23">
        <f>IF(B104="","",ROUND(F104/B104,2))</f>
        <v/>
      </c>
      <c r="I104" s="24" t="n"/>
    </row>
    <row r="105">
      <c r="A105" s="21" t="n"/>
      <c r="B105" s="22" t="n"/>
      <c r="C105" s="22" t="n"/>
      <c r="D105" s="22" t="n"/>
      <c r="E105" s="22" t="n"/>
      <c r="F105" s="22" t="n"/>
      <c r="G105" s="22" t="n"/>
      <c r="H105" s="23">
        <f>IF(B105="","",ROUND(F105/B105,2))</f>
        <v/>
      </c>
      <c r="I105" s="24" t="n"/>
    </row>
    <row r="106">
      <c r="A106" s="21" t="n"/>
      <c r="B106" s="22" t="n"/>
      <c r="C106" s="22" t="n"/>
      <c r="D106" s="22" t="n"/>
      <c r="E106" s="22" t="n"/>
      <c r="F106" s="22" t="n"/>
      <c r="G106" s="22" t="n"/>
      <c r="H106" s="23">
        <f>IF(B106="","",ROUND(F106/B106,2))</f>
        <v/>
      </c>
      <c r="I106" s="24" t="n"/>
    </row>
    <row r="107">
      <c r="A107" s="21" t="n"/>
      <c r="B107" s="22" t="n"/>
      <c r="C107" s="22" t="n"/>
      <c r="D107" s="22" t="n"/>
      <c r="E107" s="22" t="n"/>
      <c r="F107" s="22" t="n"/>
      <c r="G107" s="22" t="n"/>
      <c r="H107" s="23">
        <f>IF(B107="","",ROUND(F107/B107,2))</f>
        <v/>
      </c>
      <c r="I107" s="24" t="n"/>
    </row>
    <row r="108">
      <c r="A108" s="21" t="n"/>
      <c r="B108" s="22" t="n"/>
      <c r="C108" s="22" t="n"/>
      <c r="D108" s="22" t="n"/>
      <c r="E108" s="22" t="n"/>
      <c r="F108" s="22" t="n"/>
      <c r="G108" s="22" t="n"/>
      <c r="H108" s="23">
        <f>IF(B108="","",ROUND(F108/B108,2))</f>
        <v/>
      </c>
      <c r="I108" s="24" t="n"/>
    </row>
    <row r="109">
      <c r="A109" s="21" t="n"/>
      <c r="B109" s="22" t="n"/>
      <c r="C109" s="22" t="n"/>
      <c r="D109" s="22" t="n"/>
      <c r="E109" s="22" t="n"/>
      <c r="F109" s="22" t="n"/>
      <c r="G109" s="22" t="n"/>
      <c r="H109" s="23">
        <f>IF(B109="","",ROUND(F109/B109,2))</f>
        <v/>
      </c>
      <c r="I109" s="24" t="n"/>
    </row>
    <row r="110">
      <c r="A110" s="21" t="n"/>
      <c r="B110" s="22" t="n"/>
      <c r="C110" s="22" t="n"/>
      <c r="D110" s="22" t="n"/>
      <c r="E110" s="22" t="n"/>
      <c r="F110" s="22" t="n"/>
      <c r="G110" s="22" t="n"/>
      <c r="H110" s="23">
        <f>IF(B110="","",ROUND(F110/B110,2))</f>
        <v/>
      </c>
      <c r="I110" s="24" t="n"/>
    </row>
    <row r="111">
      <c r="A111" s="21" t="n"/>
      <c r="B111" s="22" t="n"/>
      <c r="C111" s="22" t="n"/>
      <c r="D111" s="22" t="n"/>
      <c r="E111" s="22" t="n"/>
      <c r="F111" s="22" t="n"/>
      <c r="G111" s="22" t="n"/>
      <c r="H111" s="23">
        <f>IF(B111="","",ROUND(F111/B111,2))</f>
        <v/>
      </c>
      <c r="I111" s="24" t="n"/>
    </row>
    <row r="112">
      <c r="A112" s="21" t="n"/>
      <c r="B112" s="22" t="n"/>
      <c r="C112" s="22" t="n"/>
      <c r="D112" s="22" t="n"/>
      <c r="E112" s="22" t="n"/>
      <c r="F112" s="22" t="n"/>
      <c r="G112" s="22" t="n"/>
      <c r="H112" s="23">
        <f>IF(B112="","",ROUND(F112/B112,2))</f>
        <v/>
      </c>
      <c r="I112" s="24" t="n"/>
    </row>
    <row r="113">
      <c r="A113" s="21" t="n"/>
      <c r="B113" s="22" t="n"/>
      <c r="C113" s="22" t="n"/>
      <c r="D113" s="22" t="n"/>
      <c r="E113" s="22" t="n"/>
      <c r="F113" s="22" t="n"/>
      <c r="G113" s="22" t="n"/>
      <c r="H113" s="23">
        <f>IF(B113="","",ROUND(F113/B113,2))</f>
        <v/>
      </c>
      <c r="I113" s="24" t="n"/>
    </row>
    <row r="114">
      <c r="A114" s="21" t="n"/>
      <c r="B114" s="22" t="n"/>
      <c r="C114" s="22" t="n"/>
      <c r="D114" s="22" t="n"/>
      <c r="E114" s="22" t="n"/>
      <c r="F114" s="22" t="n"/>
      <c r="G114" s="22" t="n"/>
      <c r="H114" s="23">
        <f>IF(B114="","",ROUND(F114/B114,2))</f>
        <v/>
      </c>
      <c r="I114" s="24" t="n"/>
    </row>
    <row r="115">
      <c r="A115" s="21" t="n"/>
      <c r="B115" s="22" t="n"/>
      <c r="C115" s="22" t="n"/>
      <c r="D115" s="22" t="n"/>
      <c r="E115" s="22" t="n"/>
      <c r="F115" s="22" t="n"/>
      <c r="G115" s="22" t="n"/>
      <c r="H115" s="23">
        <f>IF(B115="","",ROUND(F115/B115,2))</f>
        <v/>
      </c>
      <c r="I115" s="24" t="n"/>
    </row>
    <row r="116">
      <c r="A116" s="21" t="n"/>
      <c r="B116" s="22" t="n"/>
      <c r="C116" s="22" t="n"/>
      <c r="D116" s="22" t="n"/>
      <c r="E116" s="22" t="n"/>
      <c r="F116" s="22" t="n"/>
      <c r="G116" s="22" t="n"/>
      <c r="H116" s="23">
        <f>IF(B116="","",ROUND(F116/B116,2))</f>
        <v/>
      </c>
      <c r="I116" s="24" t="n"/>
    </row>
    <row r="117">
      <c r="A117" s="21" t="n"/>
      <c r="B117" s="22" t="n"/>
      <c r="C117" s="22" t="n"/>
      <c r="D117" s="22" t="n"/>
      <c r="E117" s="22" t="n"/>
      <c r="F117" s="22" t="n"/>
      <c r="G117" s="22" t="n"/>
      <c r="H117" s="23">
        <f>IF(B117="","",ROUND(F117/B117,2))</f>
        <v/>
      </c>
      <c r="I117" s="24" t="n"/>
    </row>
    <row r="118">
      <c r="A118" s="21" t="n"/>
      <c r="B118" s="22" t="n"/>
      <c r="C118" s="22" t="n"/>
      <c r="D118" s="22" t="n"/>
      <c r="E118" s="22" t="n"/>
      <c r="F118" s="22" t="n"/>
      <c r="G118" s="22" t="n"/>
      <c r="H118" s="23">
        <f>IF(B118="","",ROUND(F118/B118,2))</f>
        <v/>
      </c>
      <c r="I118" s="24" t="n"/>
    </row>
    <row r="119">
      <c r="A119" s="21" t="n"/>
      <c r="B119" s="22" t="n"/>
      <c r="C119" s="22" t="n"/>
      <c r="D119" s="22" t="n"/>
      <c r="E119" s="22" t="n"/>
      <c r="F119" s="22" t="n"/>
      <c r="G119" s="22" t="n"/>
      <c r="H119" s="23">
        <f>IF(B119="","",ROUND(F119/B119,2))</f>
        <v/>
      </c>
      <c r="I119" s="24" t="n"/>
    </row>
    <row r="120">
      <c r="A120" s="21" t="n"/>
      <c r="B120" s="22" t="n"/>
      <c r="C120" s="22" t="n"/>
      <c r="D120" s="22" t="n"/>
      <c r="E120" s="22" t="n"/>
      <c r="F120" s="22" t="n"/>
      <c r="G120" s="22" t="n"/>
      <c r="H120" s="23">
        <f>IF(B120="","",ROUND(F120/B120,2))</f>
        <v/>
      </c>
      <c r="I120" s="24" t="n"/>
    </row>
    <row r="121">
      <c r="A121" s="21" t="n"/>
      <c r="B121" s="22" t="n"/>
      <c r="C121" s="22" t="n"/>
      <c r="D121" s="22" t="n"/>
      <c r="E121" s="22" t="n"/>
      <c r="F121" s="22" t="n"/>
      <c r="G121" s="22" t="n"/>
      <c r="H121" s="23">
        <f>IF(B121="","",ROUND(F121/B121,2))</f>
        <v/>
      </c>
      <c r="I121" s="24" t="n"/>
    </row>
    <row r="122">
      <c r="A122" s="21" t="n"/>
      <c r="B122" s="22" t="n"/>
      <c r="C122" s="22" t="n"/>
      <c r="D122" s="22" t="n"/>
      <c r="E122" s="22" t="n"/>
      <c r="F122" s="22" t="n"/>
      <c r="G122" s="22" t="n"/>
      <c r="H122" s="23">
        <f>IF(B122="","",ROUND(F122/B122,2))</f>
        <v/>
      </c>
      <c r="I122" s="24" t="n"/>
    </row>
    <row r="123">
      <c r="A123" s="21" t="n"/>
      <c r="B123" s="22" t="n"/>
      <c r="C123" s="22" t="n"/>
      <c r="D123" s="22" t="n"/>
      <c r="E123" s="22" t="n"/>
      <c r="F123" s="22" t="n"/>
      <c r="G123" s="22" t="n"/>
      <c r="H123" s="23">
        <f>IF(B123="","",ROUND(F123/B123,2))</f>
        <v/>
      </c>
      <c r="I123" s="24" t="n"/>
    </row>
    <row r="124">
      <c r="A124" s="21" t="n"/>
      <c r="B124" s="22" t="n"/>
      <c r="C124" s="22" t="n"/>
      <c r="D124" s="22" t="n"/>
      <c r="E124" s="22" t="n"/>
      <c r="F124" s="22" t="n"/>
      <c r="G124" s="22" t="n"/>
      <c r="H124" s="23">
        <f>IF(B124="","",ROUND(F124/B124,2))</f>
        <v/>
      </c>
      <c r="I124" s="24" t="n"/>
    </row>
    <row r="125">
      <c r="A125" s="21" t="n"/>
      <c r="B125" s="22" t="n"/>
      <c r="C125" s="22" t="n"/>
      <c r="D125" s="22" t="n"/>
      <c r="E125" s="22" t="n"/>
      <c r="F125" s="22" t="n"/>
      <c r="G125" s="22" t="n"/>
      <c r="H125" s="23">
        <f>IF(B125="","",ROUND(F125/B125,2))</f>
        <v/>
      </c>
      <c r="I125" s="24" t="n"/>
    </row>
    <row r="126">
      <c r="A126" s="21" t="n"/>
      <c r="B126" s="22" t="n"/>
      <c r="C126" s="22" t="n"/>
      <c r="D126" s="22" t="n"/>
      <c r="E126" s="22" t="n"/>
      <c r="F126" s="22" t="n"/>
      <c r="G126" s="22" t="n"/>
      <c r="H126" s="23">
        <f>IF(B126="","",ROUND(F126/B126,2))</f>
        <v/>
      </c>
      <c r="I126" s="24" t="n"/>
    </row>
    <row r="127">
      <c r="A127" s="21" t="n"/>
      <c r="B127" s="22" t="n"/>
      <c r="C127" s="22" t="n"/>
      <c r="D127" s="22" t="n"/>
      <c r="E127" s="22" t="n"/>
      <c r="F127" s="22" t="n"/>
      <c r="G127" s="22" t="n"/>
      <c r="H127" s="23">
        <f>IF(B127="","",ROUND(F127/B127,2))</f>
        <v/>
      </c>
      <c r="I127" s="24" t="n"/>
    </row>
    <row r="128">
      <c r="A128" s="21" t="n"/>
      <c r="B128" s="22" t="n"/>
      <c r="C128" s="22" t="n"/>
      <c r="D128" s="22" t="n"/>
      <c r="E128" s="22" t="n"/>
      <c r="F128" s="22" t="n"/>
      <c r="G128" s="22" t="n"/>
      <c r="H128" s="23">
        <f>IF(B128="","",ROUND(F128/B128,2))</f>
        <v/>
      </c>
      <c r="I128" s="24" t="n"/>
    </row>
    <row r="129">
      <c r="A129" s="21" t="n"/>
      <c r="B129" s="22" t="n"/>
      <c r="C129" s="22" t="n"/>
      <c r="D129" s="22" t="n"/>
      <c r="E129" s="22" t="n"/>
      <c r="F129" s="22" t="n"/>
      <c r="G129" s="22" t="n"/>
      <c r="H129" s="23">
        <f>IF(B129="","",ROUND(F129/B129,2))</f>
        <v/>
      </c>
      <c r="I129" s="24" t="n"/>
    </row>
    <row r="130">
      <c r="A130" s="21" t="n"/>
      <c r="B130" s="22" t="n"/>
      <c r="C130" s="22" t="n"/>
      <c r="D130" s="22" t="n"/>
      <c r="E130" s="22" t="n"/>
      <c r="F130" s="22" t="n"/>
      <c r="G130" s="22" t="n"/>
      <c r="H130" s="23">
        <f>IF(B130="","",ROUND(F130/B130,2))</f>
        <v/>
      </c>
      <c r="I130" s="24" t="n"/>
    </row>
    <row r="131">
      <c r="A131" s="21" t="n"/>
      <c r="B131" s="22" t="n"/>
      <c r="C131" s="22" t="n"/>
      <c r="D131" s="22" t="n"/>
      <c r="E131" s="22" t="n"/>
      <c r="F131" s="22" t="n"/>
      <c r="G131" s="22" t="n"/>
      <c r="H131" s="23">
        <f>IF(B131="","",ROUND(F131/B131,2))</f>
        <v/>
      </c>
      <c r="I131" s="24" t="n"/>
    </row>
    <row r="132">
      <c r="A132" s="21" t="n"/>
      <c r="B132" s="22" t="n"/>
      <c r="C132" s="22" t="n"/>
      <c r="D132" s="22" t="n"/>
      <c r="E132" s="22" t="n"/>
      <c r="F132" s="22" t="n"/>
      <c r="G132" s="22" t="n"/>
      <c r="H132" s="23">
        <f>IF(B132="","",ROUND(F132/B132,2))</f>
        <v/>
      </c>
      <c r="I132" s="24" t="n"/>
    </row>
    <row r="133">
      <c r="A133" s="21" t="n"/>
      <c r="B133" s="22" t="n"/>
      <c r="C133" s="22" t="n"/>
      <c r="D133" s="22" t="n"/>
      <c r="E133" s="22" t="n"/>
      <c r="F133" s="22" t="n"/>
      <c r="G133" s="22" t="n"/>
      <c r="H133" s="23">
        <f>IF(B133="","",ROUND(F133/B133,2))</f>
        <v/>
      </c>
      <c r="I133" s="24" t="n"/>
    </row>
    <row r="134">
      <c r="A134" s="21" t="n"/>
      <c r="B134" s="22" t="n"/>
      <c r="C134" s="22" t="n"/>
      <c r="D134" s="22" t="n"/>
      <c r="E134" s="22" t="n"/>
      <c r="F134" s="22" t="n"/>
      <c r="G134" s="22" t="n"/>
      <c r="H134" s="23">
        <f>IF(B134="","",ROUND(F134/B134,2))</f>
        <v/>
      </c>
      <c r="I134" s="24" t="n"/>
    </row>
    <row r="135">
      <c r="A135" s="21" t="n"/>
      <c r="B135" s="22" t="n"/>
      <c r="C135" s="22" t="n"/>
      <c r="D135" s="22" t="n"/>
      <c r="E135" s="22" t="n"/>
      <c r="F135" s="22" t="n"/>
      <c r="G135" s="22" t="n"/>
      <c r="H135" s="23">
        <f>IF(B135="","",ROUND(F135/B135,2))</f>
        <v/>
      </c>
      <c r="I135" s="24" t="n"/>
    </row>
    <row r="136">
      <c r="A136" s="21" t="n"/>
      <c r="B136" s="22" t="n"/>
      <c r="C136" s="22" t="n"/>
      <c r="D136" s="22" t="n"/>
      <c r="E136" s="22" t="n"/>
      <c r="F136" s="22" t="n"/>
      <c r="G136" s="22" t="n"/>
      <c r="H136" s="23">
        <f>IF(B136="","",ROUND(F136/B136,2))</f>
        <v/>
      </c>
      <c r="I136" s="24" t="n"/>
    </row>
    <row r="137">
      <c r="A137" s="21" t="n"/>
      <c r="B137" s="22" t="n"/>
      <c r="C137" s="22" t="n"/>
      <c r="D137" s="22" t="n"/>
      <c r="E137" s="22" t="n"/>
      <c r="F137" s="22" t="n"/>
      <c r="G137" s="22" t="n"/>
      <c r="H137" s="23">
        <f>IF(B137="","",ROUND(F137/B137,2))</f>
        <v/>
      </c>
      <c r="I137" s="24" t="n"/>
    </row>
    <row r="138">
      <c r="A138" s="21" t="n"/>
      <c r="B138" s="22" t="n"/>
      <c r="C138" s="22" t="n"/>
      <c r="D138" s="22" t="n"/>
      <c r="E138" s="22" t="n"/>
      <c r="F138" s="22" t="n"/>
      <c r="G138" s="22" t="n"/>
      <c r="H138" s="23">
        <f>IF(B138="","",ROUND(F138/B138,2))</f>
        <v/>
      </c>
      <c r="I138" s="24" t="n"/>
    </row>
    <row r="139">
      <c r="A139" s="21" t="n"/>
      <c r="B139" s="22" t="n"/>
      <c r="C139" s="22" t="n"/>
      <c r="D139" s="22" t="n"/>
      <c r="E139" s="22" t="n"/>
      <c r="F139" s="22" t="n"/>
      <c r="G139" s="22" t="n"/>
      <c r="H139" s="23">
        <f>IF(B139="","",ROUND(F139/B139,2))</f>
        <v/>
      </c>
      <c r="I139" s="24" t="n"/>
    </row>
    <row r="140">
      <c r="A140" s="21" t="n"/>
      <c r="B140" s="22" t="n"/>
      <c r="C140" s="22" t="n"/>
      <c r="D140" s="22" t="n"/>
      <c r="E140" s="22" t="n"/>
      <c r="F140" s="22" t="n"/>
      <c r="G140" s="22" t="n"/>
      <c r="H140" s="23">
        <f>IF(B140="","",ROUND(F140/B140,2))</f>
        <v/>
      </c>
      <c r="I140" s="24" t="n"/>
    </row>
    <row r="141">
      <c r="A141" s="21" t="n"/>
      <c r="B141" s="22" t="n"/>
      <c r="C141" s="22" t="n"/>
      <c r="D141" s="22" t="n"/>
      <c r="E141" s="22" t="n"/>
      <c r="F141" s="22" t="n"/>
      <c r="G141" s="22" t="n"/>
      <c r="H141" s="23">
        <f>IF(B141="","",ROUND(F141/B141,2))</f>
        <v/>
      </c>
      <c r="I141" s="24" t="n"/>
    </row>
    <row r="142">
      <c r="A142" s="21" t="n"/>
      <c r="B142" s="22" t="n"/>
      <c r="C142" s="22" t="n"/>
      <c r="D142" s="22" t="n"/>
      <c r="E142" s="22" t="n"/>
      <c r="F142" s="22" t="n"/>
      <c r="G142" s="22" t="n"/>
      <c r="H142" s="23">
        <f>IF(B142="","",ROUND(F142/B142,2))</f>
        <v/>
      </c>
      <c r="I142" s="24" t="n"/>
    </row>
    <row r="143">
      <c r="A143" s="21" t="n"/>
      <c r="B143" s="22" t="n"/>
      <c r="C143" s="22" t="n"/>
      <c r="D143" s="22" t="n"/>
      <c r="E143" s="22" t="n"/>
      <c r="F143" s="22" t="n"/>
      <c r="G143" s="22" t="n"/>
      <c r="H143" s="23">
        <f>IF(B143="","",ROUND(F143/B143,2))</f>
        <v/>
      </c>
      <c r="I143" s="24" t="n"/>
    </row>
    <row r="144">
      <c r="A144" s="21" t="n"/>
      <c r="B144" s="22" t="n"/>
      <c r="C144" s="22" t="n"/>
      <c r="D144" s="22" t="n"/>
      <c r="E144" s="22" t="n"/>
      <c r="F144" s="22" t="n"/>
      <c r="G144" s="22" t="n"/>
      <c r="H144" s="23">
        <f>IF(B144="","",ROUND(F144/B144,2))</f>
        <v/>
      </c>
      <c r="I144" s="24" t="n"/>
    </row>
    <row r="145">
      <c r="A145" s="21" t="n"/>
      <c r="B145" s="22" t="n"/>
      <c r="C145" s="22" t="n"/>
      <c r="D145" s="22" t="n"/>
      <c r="E145" s="22" t="n"/>
      <c r="F145" s="22" t="n"/>
      <c r="G145" s="22" t="n"/>
      <c r="H145" s="23">
        <f>IF(B145="","",ROUND(F145/B145,2))</f>
        <v/>
      </c>
      <c r="I145" s="24" t="n"/>
    </row>
    <row r="146">
      <c r="A146" s="21" t="n"/>
      <c r="B146" s="22" t="n"/>
      <c r="C146" s="22" t="n"/>
      <c r="D146" s="22" t="n"/>
      <c r="E146" s="22" t="n"/>
      <c r="F146" s="22" t="n"/>
      <c r="G146" s="22" t="n"/>
      <c r="H146" s="23">
        <f>IF(B146="","",ROUND(F146/B146,2))</f>
        <v/>
      </c>
      <c r="I146" s="24" t="n"/>
    </row>
    <row r="147">
      <c r="A147" s="21" t="n"/>
      <c r="B147" s="22" t="n"/>
      <c r="C147" s="22" t="n"/>
      <c r="D147" s="22" t="n"/>
      <c r="E147" s="22" t="n"/>
      <c r="F147" s="22" t="n"/>
      <c r="G147" s="22" t="n"/>
      <c r="H147" s="23">
        <f>IF(B147="","",ROUND(F147/B147,2))</f>
        <v/>
      </c>
      <c r="I147" s="24" t="n"/>
    </row>
    <row r="148">
      <c r="A148" s="21" t="n"/>
      <c r="B148" s="22" t="n"/>
      <c r="C148" s="22" t="n"/>
      <c r="D148" s="22" t="n"/>
      <c r="E148" s="22" t="n"/>
      <c r="F148" s="22" t="n"/>
      <c r="G148" s="22" t="n"/>
      <c r="H148" s="23">
        <f>IF(B148="","",ROUND(F148/B148,2))</f>
        <v/>
      </c>
      <c r="I148" s="24" t="n"/>
    </row>
    <row r="149">
      <c r="A149" s="21" t="n"/>
      <c r="B149" s="22" t="n"/>
      <c r="C149" s="22" t="n"/>
      <c r="D149" s="22" t="n"/>
      <c r="E149" s="22" t="n"/>
      <c r="F149" s="22" t="n"/>
      <c r="G149" s="22" t="n"/>
      <c r="H149" s="23">
        <f>IF(B149="","",ROUND(F149/B149,2))</f>
        <v/>
      </c>
      <c r="I149" s="24" t="n"/>
    </row>
    <row r="150">
      <c r="A150" s="21" t="n"/>
      <c r="B150" s="22" t="n"/>
      <c r="C150" s="22" t="n"/>
      <c r="D150" s="22" t="n"/>
      <c r="E150" s="22" t="n"/>
      <c r="F150" s="22" t="n"/>
      <c r="G150" s="22" t="n"/>
      <c r="H150" s="23">
        <f>IF(B150="","",ROUND(F150/B150,2))</f>
        <v/>
      </c>
      <c r="I150" s="24" t="n"/>
    </row>
    <row r="151">
      <c r="A151" s="21" t="n"/>
      <c r="B151" s="22" t="n"/>
      <c r="C151" s="22" t="n"/>
      <c r="D151" s="22" t="n"/>
      <c r="E151" s="22" t="n"/>
      <c r="F151" s="22" t="n"/>
      <c r="G151" s="22" t="n"/>
      <c r="H151" s="23">
        <f>IF(B151="","",ROUND(F151/B151,2))</f>
        <v/>
      </c>
      <c r="I151" s="24" t="n"/>
    </row>
    <row r="152">
      <c r="A152" s="21" t="n"/>
      <c r="B152" s="22" t="n"/>
      <c r="C152" s="22" t="n"/>
      <c r="D152" s="22" t="n"/>
      <c r="E152" s="22" t="n"/>
      <c r="F152" s="22" t="n"/>
      <c r="G152" s="22" t="n"/>
      <c r="H152" s="23">
        <f>IF(B152="","",ROUND(F152/B152,2))</f>
        <v/>
      </c>
      <c r="I152" s="24" t="n"/>
    </row>
    <row r="153">
      <c r="A153" s="21" t="n"/>
      <c r="B153" s="22" t="n"/>
      <c r="C153" s="22" t="n"/>
      <c r="D153" s="22" t="n"/>
      <c r="E153" s="22" t="n"/>
      <c r="F153" s="22" t="n"/>
      <c r="G153" s="22" t="n"/>
      <c r="H153" s="23">
        <f>IF(B153="","",ROUND(F153/B153,2))</f>
        <v/>
      </c>
      <c r="I153" s="24" t="n"/>
    </row>
    <row r="154">
      <c r="A154" s="21" t="n"/>
      <c r="B154" s="22" t="n"/>
      <c r="C154" s="22" t="n"/>
      <c r="D154" s="22" t="n"/>
      <c r="E154" s="22" t="n"/>
      <c r="F154" s="22" t="n"/>
      <c r="G154" s="22" t="n"/>
      <c r="H154" s="23">
        <f>IF(B154="","",ROUND(F154/B154,2))</f>
        <v/>
      </c>
      <c r="I154" s="24" t="n"/>
    </row>
    <row r="155">
      <c r="A155" s="21" t="n"/>
      <c r="B155" s="22" t="n"/>
      <c r="C155" s="22" t="n"/>
      <c r="D155" s="22" t="n"/>
      <c r="E155" s="22" t="n"/>
      <c r="F155" s="22" t="n"/>
      <c r="G155" s="22" t="n"/>
      <c r="H155" s="23">
        <f>IF(B155="","",ROUND(F155/B155,2))</f>
        <v/>
      </c>
      <c r="I155" s="24" t="n"/>
    </row>
    <row r="156">
      <c r="A156" s="21" t="n"/>
      <c r="B156" s="22" t="n"/>
      <c r="C156" s="22" t="n"/>
      <c r="D156" s="22" t="n"/>
      <c r="E156" s="22" t="n"/>
      <c r="F156" s="22" t="n"/>
      <c r="G156" s="22" t="n"/>
      <c r="H156" s="23">
        <f>IF(B156="","",ROUND(F156/B156,2))</f>
        <v/>
      </c>
      <c r="I156" s="24" t="n"/>
    </row>
    <row r="157">
      <c r="A157" s="21" t="n"/>
      <c r="B157" s="22" t="n"/>
      <c r="C157" s="22" t="n"/>
      <c r="D157" s="22" t="n"/>
      <c r="E157" s="22" t="n"/>
      <c r="F157" s="22" t="n"/>
      <c r="G157" s="22" t="n"/>
      <c r="H157" s="23">
        <f>IF(B157="","",ROUND(F157/B157,2))</f>
        <v/>
      </c>
      <c r="I157" s="24" t="n"/>
    </row>
    <row r="158">
      <c r="A158" s="21" t="n"/>
      <c r="B158" s="22" t="n"/>
      <c r="C158" s="22" t="n"/>
      <c r="D158" s="22" t="n"/>
      <c r="E158" s="22" t="n"/>
      <c r="F158" s="22" t="n"/>
      <c r="G158" s="22" t="n"/>
      <c r="H158" s="23">
        <f>IF(B158="","",ROUND(F158/B158,2))</f>
        <v/>
      </c>
      <c r="I158" s="24" t="n"/>
    </row>
    <row r="159">
      <c r="A159" s="21" t="n"/>
      <c r="B159" s="22" t="n"/>
      <c r="C159" s="22" t="n"/>
      <c r="D159" s="22" t="n"/>
      <c r="E159" s="22" t="n"/>
      <c r="F159" s="22" t="n"/>
      <c r="G159" s="22" t="n"/>
      <c r="H159" s="23">
        <f>IF(B159="","",ROUND(F159/B159,2))</f>
        <v/>
      </c>
      <c r="I159" s="24" t="n"/>
    </row>
    <row r="160">
      <c r="A160" s="21" t="n"/>
      <c r="B160" s="22" t="n"/>
      <c r="C160" s="22" t="n"/>
      <c r="D160" s="22" t="n"/>
      <c r="E160" s="22" t="n"/>
      <c r="F160" s="22" t="n"/>
      <c r="G160" s="22" t="n"/>
      <c r="H160" s="23">
        <f>IF(B160="","",ROUND(F160/B160,2))</f>
        <v/>
      </c>
      <c r="I160" s="24" t="n"/>
    </row>
    <row r="161">
      <c r="A161" s="21" t="n"/>
      <c r="B161" s="22" t="n"/>
      <c r="C161" s="22" t="n"/>
      <c r="D161" s="22" t="n"/>
      <c r="E161" s="22" t="n"/>
      <c r="F161" s="22" t="n"/>
      <c r="G161" s="22" t="n"/>
      <c r="H161" s="23">
        <f>IF(B161="","",ROUND(F161/B161,2))</f>
        <v/>
      </c>
      <c r="I161" s="24" t="n"/>
    </row>
    <row r="162">
      <c r="A162" s="21" t="n"/>
      <c r="B162" s="22" t="n"/>
      <c r="C162" s="22" t="n"/>
      <c r="D162" s="22" t="n"/>
      <c r="E162" s="22" t="n"/>
      <c r="F162" s="22" t="n"/>
      <c r="G162" s="22" t="n"/>
      <c r="H162" s="23">
        <f>IF(B162="","",ROUND(F162/B162,2))</f>
        <v/>
      </c>
      <c r="I162" s="24" t="n"/>
    </row>
    <row r="163">
      <c r="A163" s="21" t="n"/>
      <c r="B163" s="22" t="n"/>
      <c r="C163" s="22" t="n"/>
      <c r="D163" s="22" t="n"/>
      <c r="E163" s="22" t="n"/>
      <c r="F163" s="22" t="n"/>
      <c r="G163" s="22" t="n"/>
      <c r="H163" s="23">
        <f>IF(B163="","",ROUND(F163/B163,2))</f>
        <v/>
      </c>
      <c r="I163" s="24" t="n"/>
    </row>
    <row r="164">
      <c r="A164" s="21" t="n"/>
      <c r="B164" s="22" t="n"/>
      <c r="C164" s="22" t="n"/>
      <c r="D164" s="22" t="n"/>
      <c r="E164" s="22" t="n"/>
      <c r="F164" s="22" t="n"/>
      <c r="G164" s="22" t="n"/>
      <c r="H164" s="23">
        <f>IF(B164="","",ROUND(F164/B164,2))</f>
        <v/>
      </c>
      <c r="I164" s="24" t="n"/>
    </row>
    <row r="165">
      <c r="A165" s="21" t="n"/>
      <c r="B165" s="22" t="n"/>
      <c r="C165" s="22" t="n"/>
      <c r="D165" s="22" t="n"/>
      <c r="E165" s="22" t="n"/>
      <c r="F165" s="22" t="n"/>
      <c r="G165" s="22" t="n"/>
      <c r="H165" s="23">
        <f>IF(B165="","",ROUND(F165/B165,2))</f>
        <v/>
      </c>
      <c r="I165" s="24" t="n"/>
    </row>
    <row r="166">
      <c r="A166" s="21" t="n"/>
      <c r="B166" s="22" t="n"/>
      <c r="C166" s="22" t="n"/>
      <c r="D166" s="22" t="n"/>
      <c r="E166" s="22" t="n"/>
      <c r="F166" s="22" t="n"/>
      <c r="G166" s="22" t="n"/>
      <c r="H166" s="23">
        <f>IF(B166="","",ROUND(F166/B166,2))</f>
        <v/>
      </c>
      <c r="I166" s="24" t="n"/>
    </row>
    <row r="167">
      <c r="A167" s="21" t="n"/>
      <c r="B167" s="22" t="n"/>
      <c r="C167" s="22" t="n"/>
      <c r="D167" s="22" t="n"/>
      <c r="E167" s="22" t="n"/>
      <c r="F167" s="22" t="n"/>
      <c r="G167" s="22" t="n"/>
      <c r="H167" s="23">
        <f>IF(B167="","",ROUND(F167/B167,2))</f>
        <v/>
      </c>
      <c r="I167" s="24" t="n"/>
    </row>
    <row r="168">
      <c r="A168" s="21" t="n"/>
      <c r="B168" s="22" t="n"/>
      <c r="C168" s="22" t="n"/>
      <c r="D168" s="22" t="n"/>
      <c r="E168" s="22" t="n"/>
      <c r="F168" s="22" t="n"/>
      <c r="G168" s="22" t="n"/>
      <c r="H168" s="23">
        <f>IF(B168="","",ROUND(F168/B168,2))</f>
        <v/>
      </c>
      <c r="I168" s="24" t="n"/>
    </row>
    <row r="169">
      <c r="A169" s="21" t="n"/>
      <c r="B169" s="22" t="n"/>
      <c r="C169" s="22" t="n"/>
      <c r="D169" s="22" t="n"/>
      <c r="E169" s="22" t="n"/>
      <c r="F169" s="22" t="n"/>
      <c r="G169" s="22" t="n"/>
      <c r="H169" s="23">
        <f>IF(B169="","",ROUND(F169/B169,2))</f>
        <v/>
      </c>
      <c r="I169" s="24" t="n"/>
    </row>
    <row r="170">
      <c r="A170" s="21" t="n"/>
      <c r="B170" s="22" t="n"/>
      <c r="C170" s="22" t="n"/>
      <c r="D170" s="22" t="n"/>
      <c r="E170" s="22" t="n"/>
      <c r="F170" s="22" t="n"/>
      <c r="G170" s="22" t="n"/>
      <c r="H170" s="23">
        <f>IF(B170="","",ROUND(F170/B170,2))</f>
        <v/>
      </c>
      <c r="I170" s="24" t="n"/>
    </row>
    <row r="171">
      <c r="A171" s="21" t="n"/>
      <c r="B171" s="22" t="n"/>
      <c r="C171" s="22" t="n"/>
      <c r="D171" s="22" t="n"/>
      <c r="E171" s="22" t="n"/>
      <c r="F171" s="22" t="n"/>
      <c r="G171" s="22" t="n"/>
      <c r="H171" s="23">
        <f>IF(B171="","",ROUND(F171/B171,2))</f>
        <v/>
      </c>
      <c r="I171" s="24" t="n"/>
    </row>
    <row r="172">
      <c r="A172" s="21" t="n"/>
      <c r="B172" s="22" t="n"/>
      <c r="C172" s="22" t="n"/>
      <c r="D172" s="22" t="n"/>
      <c r="E172" s="22" t="n"/>
      <c r="F172" s="22" t="n"/>
      <c r="G172" s="22" t="n"/>
      <c r="H172" s="23">
        <f>IF(B172="","",ROUND(F172/B172,2))</f>
        <v/>
      </c>
      <c r="I172" s="24" t="n"/>
    </row>
    <row r="173">
      <c r="A173" s="21" t="n"/>
      <c r="B173" s="22" t="n"/>
      <c r="C173" s="22" t="n"/>
      <c r="D173" s="22" t="n"/>
      <c r="E173" s="22" t="n"/>
      <c r="F173" s="22" t="n"/>
      <c r="G173" s="22" t="n"/>
      <c r="H173" s="23">
        <f>IF(B173="","",ROUND(F173/B173,2))</f>
        <v/>
      </c>
      <c r="I173" s="24" t="n"/>
    </row>
    <row r="174">
      <c r="A174" s="21" t="n"/>
      <c r="B174" s="22" t="n"/>
      <c r="C174" s="22" t="n"/>
      <c r="D174" s="22" t="n"/>
      <c r="E174" s="22" t="n"/>
      <c r="F174" s="22" t="n"/>
      <c r="G174" s="22" t="n"/>
      <c r="H174" s="23">
        <f>IF(B174="","",ROUND(F174/B174,2))</f>
        <v/>
      </c>
      <c r="I174" s="24" t="n"/>
    </row>
    <row r="175">
      <c r="A175" s="21" t="n"/>
      <c r="B175" s="22" t="n"/>
      <c r="C175" s="22" t="n"/>
      <c r="D175" s="22" t="n"/>
      <c r="E175" s="22" t="n"/>
      <c r="F175" s="22" t="n"/>
      <c r="G175" s="22" t="n"/>
      <c r="H175" s="23">
        <f>IF(B175="","",ROUND(F175/B175,2))</f>
        <v/>
      </c>
      <c r="I175" s="24" t="n"/>
    </row>
    <row r="176">
      <c r="A176" s="21" t="n"/>
      <c r="B176" s="22" t="n"/>
      <c r="C176" s="22" t="n"/>
      <c r="D176" s="22" t="n"/>
      <c r="E176" s="22" t="n"/>
      <c r="F176" s="22" t="n"/>
      <c r="G176" s="22" t="n"/>
      <c r="H176" s="23">
        <f>IF(B176="","",ROUND(F176/B176,2))</f>
        <v/>
      </c>
      <c r="I176" s="24" t="n"/>
    </row>
    <row r="177">
      <c r="A177" s="21" t="n"/>
      <c r="B177" s="22" t="n"/>
      <c r="C177" s="22" t="n"/>
      <c r="D177" s="22" t="n"/>
      <c r="E177" s="22" t="n"/>
      <c r="F177" s="22" t="n"/>
      <c r="G177" s="22" t="n"/>
      <c r="H177" s="23">
        <f>IF(B177="","",ROUND(F177/B177,2))</f>
        <v/>
      </c>
      <c r="I177" s="24" t="n"/>
    </row>
    <row r="178">
      <c r="A178" s="21" t="n"/>
      <c r="B178" s="22" t="n"/>
      <c r="C178" s="22" t="n"/>
      <c r="D178" s="22" t="n"/>
      <c r="E178" s="22" t="n"/>
      <c r="F178" s="22" t="n"/>
      <c r="G178" s="22" t="n"/>
      <c r="H178" s="23">
        <f>IF(B178="","",ROUND(F178/B178,2))</f>
        <v/>
      </c>
      <c r="I178" s="24" t="n"/>
    </row>
    <row r="179">
      <c r="A179" s="21" t="n"/>
      <c r="B179" s="22" t="n"/>
      <c r="C179" s="22" t="n"/>
      <c r="D179" s="22" t="n"/>
      <c r="E179" s="22" t="n"/>
      <c r="F179" s="22" t="n"/>
      <c r="G179" s="22" t="n"/>
      <c r="H179" s="23">
        <f>IF(B179="","",ROUND(F179/B179,2))</f>
        <v/>
      </c>
      <c r="I179" s="24" t="n"/>
    </row>
    <row r="180">
      <c r="A180" s="21" t="n"/>
      <c r="B180" s="22" t="n"/>
      <c r="C180" s="22" t="n"/>
      <c r="D180" s="22" t="n"/>
      <c r="E180" s="22" t="n"/>
      <c r="F180" s="22" t="n"/>
      <c r="G180" s="22" t="n"/>
      <c r="H180" s="23">
        <f>IF(B180="","",ROUND(F180/B180,2))</f>
        <v/>
      </c>
      <c r="I180" s="24" t="n"/>
    </row>
    <row r="181">
      <c r="A181" s="21" t="n"/>
      <c r="B181" s="22" t="n"/>
      <c r="C181" s="22" t="n"/>
      <c r="D181" s="22" t="n"/>
      <c r="E181" s="22" t="n"/>
      <c r="F181" s="22" t="n"/>
      <c r="G181" s="22" t="n"/>
      <c r="H181" s="23">
        <f>IF(B181="","",ROUND(F181/B181,2))</f>
        <v/>
      </c>
      <c r="I181" s="24" t="n"/>
    </row>
    <row r="182">
      <c r="A182" s="21" t="n"/>
      <c r="B182" s="22" t="n"/>
      <c r="C182" s="22" t="n"/>
      <c r="D182" s="22" t="n"/>
      <c r="E182" s="22" t="n"/>
      <c r="F182" s="22" t="n"/>
      <c r="G182" s="22" t="n"/>
      <c r="H182" s="23">
        <f>IF(B182="","",ROUND(F182/B182,2))</f>
        <v/>
      </c>
      <c r="I182" s="24" t="n"/>
    </row>
    <row r="183">
      <c r="A183" s="21" t="n"/>
      <c r="B183" s="22" t="n"/>
      <c r="C183" s="22" t="n"/>
      <c r="D183" s="22" t="n"/>
      <c r="E183" s="22" t="n"/>
      <c r="F183" s="22" t="n"/>
      <c r="G183" s="22" t="n"/>
      <c r="H183" s="23">
        <f>IF(B183="","",ROUND(F183/B183,2))</f>
        <v/>
      </c>
      <c r="I183" s="24" t="n"/>
    </row>
    <row r="184">
      <c r="A184" s="21" t="n"/>
      <c r="B184" s="22" t="n"/>
      <c r="C184" s="22" t="n"/>
      <c r="D184" s="22" t="n"/>
      <c r="E184" s="22" t="n"/>
      <c r="F184" s="22" t="n"/>
      <c r="G184" s="22" t="n"/>
      <c r="H184" s="23">
        <f>IF(B184="","",ROUND(F184/B184,2))</f>
        <v/>
      </c>
      <c r="I184" s="24" t="n"/>
    </row>
    <row r="185">
      <c r="A185" s="21" t="n"/>
      <c r="B185" s="22" t="n"/>
      <c r="C185" s="22" t="n"/>
      <c r="D185" s="22" t="n"/>
      <c r="E185" s="22" t="n"/>
      <c r="F185" s="22" t="n"/>
      <c r="G185" s="22" t="n"/>
      <c r="H185" s="23">
        <f>IF(B185="","",ROUND(F185/B185,2))</f>
        <v/>
      </c>
      <c r="I185" s="24" t="n"/>
    </row>
    <row r="186">
      <c r="A186" s="21" t="n"/>
      <c r="B186" s="22" t="n"/>
      <c r="C186" s="22" t="n"/>
      <c r="D186" s="22" t="n"/>
      <c r="E186" s="22" t="n"/>
      <c r="F186" s="22" t="n"/>
      <c r="G186" s="22" t="n"/>
      <c r="H186" s="23">
        <f>IF(B186="","",ROUND(F186/B186,2))</f>
        <v/>
      </c>
      <c r="I186" s="24" t="n"/>
    </row>
    <row r="187">
      <c r="A187" s="21" t="n"/>
      <c r="B187" s="22" t="n"/>
      <c r="C187" s="22" t="n"/>
      <c r="D187" s="22" t="n"/>
      <c r="E187" s="22" t="n"/>
      <c r="F187" s="22" t="n"/>
      <c r="G187" s="22" t="n"/>
      <c r="H187" s="23">
        <f>IF(B187="","",ROUND(F187/B187,2))</f>
        <v/>
      </c>
      <c r="I187" s="24" t="n"/>
    </row>
    <row r="188">
      <c r="A188" s="21" t="n"/>
      <c r="B188" s="22" t="n"/>
      <c r="C188" s="22" t="n"/>
      <c r="D188" s="22" t="n"/>
      <c r="E188" s="22" t="n"/>
      <c r="F188" s="22" t="n"/>
      <c r="G188" s="22" t="n"/>
      <c r="H188" s="23">
        <f>IF(B188="","",ROUND(F188/B188,2))</f>
        <v/>
      </c>
      <c r="I188" s="24" t="n"/>
    </row>
    <row r="189">
      <c r="A189" s="21" t="n"/>
      <c r="B189" s="22" t="n"/>
      <c r="C189" s="22" t="n"/>
      <c r="D189" s="22" t="n"/>
      <c r="E189" s="22" t="n"/>
      <c r="F189" s="22" t="n"/>
      <c r="G189" s="22" t="n"/>
      <c r="H189" s="23">
        <f>IF(B189="","",ROUND(F189/B189,2))</f>
        <v/>
      </c>
      <c r="I189" s="24" t="n"/>
    </row>
    <row r="190">
      <c r="A190" s="21" t="n"/>
      <c r="B190" s="22" t="n"/>
      <c r="C190" s="22" t="n"/>
      <c r="D190" s="22" t="n"/>
      <c r="E190" s="22" t="n"/>
      <c r="F190" s="22" t="n"/>
      <c r="G190" s="22" t="n"/>
      <c r="H190" s="23">
        <f>IF(B190="","",ROUND(F190/B190,2))</f>
        <v/>
      </c>
      <c r="I190" s="24" t="n"/>
    </row>
    <row r="191">
      <c r="A191" s="21" t="n"/>
      <c r="B191" s="22" t="n"/>
      <c r="C191" s="22" t="n"/>
      <c r="D191" s="22" t="n"/>
      <c r="E191" s="22" t="n"/>
      <c r="F191" s="22" t="n"/>
      <c r="G191" s="22" t="n"/>
      <c r="H191" s="23">
        <f>IF(B191="","",ROUND(F191/B191,2))</f>
        <v/>
      </c>
      <c r="I191" s="24" t="n"/>
    </row>
    <row r="192">
      <c r="A192" s="21" t="n"/>
      <c r="B192" s="22" t="n"/>
      <c r="C192" s="22" t="n"/>
      <c r="D192" s="22" t="n"/>
      <c r="E192" s="22" t="n"/>
      <c r="F192" s="22" t="n"/>
      <c r="G192" s="22" t="n"/>
      <c r="H192" s="23">
        <f>IF(B192="","",ROUND(F192/B192,2))</f>
        <v/>
      </c>
      <c r="I192" s="24" t="n"/>
    </row>
    <row r="193">
      <c r="A193" s="21" t="n"/>
      <c r="B193" s="22" t="n"/>
      <c r="C193" s="22" t="n"/>
      <c r="D193" s="22" t="n"/>
      <c r="E193" s="22" t="n"/>
      <c r="F193" s="22" t="n"/>
      <c r="G193" s="22" t="n"/>
      <c r="H193" s="23">
        <f>IF(B193="","",ROUND(F193/B193,2))</f>
        <v/>
      </c>
      <c r="I193" s="24" t="n"/>
    </row>
    <row r="194">
      <c r="A194" s="21" t="n"/>
      <c r="B194" s="22" t="n"/>
      <c r="C194" s="22" t="n"/>
      <c r="D194" s="22" t="n"/>
      <c r="E194" s="22" t="n"/>
      <c r="F194" s="22" t="n"/>
      <c r="G194" s="22" t="n"/>
      <c r="H194" s="23">
        <f>IF(B194="","",ROUND(F194/B194,2))</f>
        <v/>
      </c>
      <c r="I194" s="24" t="n"/>
    </row>
    <row r="195">
      <c r="A195" s="21" t="n"/>
      <c r="B195" s="22" t="n"/>
      <c r="C195" s="22" t="n"/>
      <c r="D195" s="22" t="n"/>
      <c r="E195" s="22" t="n"/>
      <c r="F195" s="22" t="n"/>
      <c r="G195" s="22" t="n"/>
      <c r="H195" s="23">
        <f>IF(B195="","",ROUND(F195/B195,2))</f>
        <v/>
      </c>
      <c r="I195" s="24" t="n"/>
    </row>
    <row r="196">
      <c r="A196" s="21" t="n"/>
      <c r="B196" s="22" t="n"/>
      <c r="C196" s="22" t="n"/>
      <c r="D196" s="22" t="n"/>
      <c r="E196" s="22" t="n"/>
      <c r="F196" s="22" t="n"/>
      <c r="G196" s="22" t="n"/>
      <c r="H196" s="23">
        <f>IF(B196="","",ROUND(F196/B196,2))</f>
        <v/>
      </c>
      <c r="I196" s="24" t="n"/>
    </row>
    <row r="197">
      <c r="A197" s="21" t="n"/>
      <c r="B197" s="22" t="n"/>
      <c r="C197" s="22" t="n"/>
      <c r="D197" s="22" t="n"/>
      <c r="E197" s="22" t="n"/>
      <c r="F197" s="22" t="n"/>
      <c r="G197" s="22" t="n"/>
      <c r="H197" s="23">
        <f>IF(B197="","",ROUND(F197/B197,2))</f>
        <v/>
      </c>
      <c r="I197" s="24" t="n"/>
    </row>
    <row r="198">
      <c r="A198" s="21" t="n"/>
      <c r="B198" s="22" t="n"/>
      <c r="C198" s="22" t="n"/>
      <c r="D198" s="22" t="n"/>
      <c r="E198" s="22" t="n"/>
      <c r="F198" s="22" t="n"/>
      <c r="G198" s="22" t="n"/>
      <c r="H198" s="23">
        <f>IF(B198="","",ROUND(F198/B198,2))</f>
        <v/>
      </c>
      <c r="I198" s="24" t="n"/>
    </row>
    <row r="199">
      <c r="A199" s="21" t="n"/>
      <c r="B199" s="22" t="n"/>
      <c r="C199" s="22" t="n"/>
      <c r="D199" s="22" t="n"/>
      <c r="E199" s="22" t="n"/>
      <c r="F199" s="22" t="n"/>
      <c r="G199" s="22" t="n"/>
      <c r="H199" s="23">
        <f>IF(B199="","",ROUND(F199/B199,2))</f>
        <v/>
      </c>
      <c r="I199" s="24" t="n"/>
    </row>
    <row r="200">
      <c r="A200" s="21" t="n"/>
      <c r="B200" s="22" t="n"/>
      <c r="C200" s="22" t="n"/>
      <c r="D200" s="22" t="n"/>
      <c r="E200" s="22" t="n"/>
      <c r="F200" s="22" t="n"/>
      <c r="G200" s="22" t="n"/>
      <c r="H200" s="23">
        <f>IF(B200="","",ROUND(F200/B200,2))</f>
        <v/>
      </c>
      <c r="I200" s="24" t="n"/>
    </row>
    <row r="201">
      <c r="A201" s="21" t="n"/>
      <c r="B201" s="22" t="n"/>
      <c r="C201" s="22" t="n"/>
      <c r="D201" s="22" t="n"/>
      <c r="E201" s="22" t="n"/>
      <c r="F201" s="22" t="n"/>
      <c r="G201" s="22" t="n"/>
      <c r="H201" s="23">
        <f>IF(B201="","",ROUND(F201/B201,2))</f>
        <v/>
      </c>
      <c r="I201" s="24" t="n"/>
    </row>
    <row r="202">
      <c r="A202" s="21" t="n"/>
      <c r="B202" s="22" t="n"/>
      <c r="C202" s="22" t="n"/>
      <c r="D202" s="22" t="n"/>
      <c r="E202" s="22" t="n"/>
      <c r="F202" s="22" t="n"/>
      <c r="G202" s="22" t="n"/>
      <c r="H202" s="23">
        <f>IF(B202="","",ROUND(F202/B202,2))</f>
        <v/>
      </c>
      <c r="I202" s="24" t="n"/>
    </row>
    <row r="203">
      <c r="A203" s="21" t="n"/>
      <c r="B203" s="22" t="n"/>
      <c r="C203" s="22" t="n"/>
      <c r="D203" s="22" t="n"/>
      <c r="E203" s="22" t="n"/>
      <c r="F203" s="22" t="n"/>
      <c r="G203" s="22" t="n"/>
      <c r="H203" s="23">
        <f>IF(B203="","",ROUND(F203/B203,2))</f>
        <v/>
      </c>
      <c r="I203" s="24" t="n"/>
    </row>
    <row r="204">
      <c r="A204" s="21" t="n"/>
      <c r="B204" s="22" t="n"/>
      <c r="C204" s="22" t="n"/>
      <c r="D204" s="22" t="n"/>
      <c r="E204" s="22" t="n"/>
      <c r="F204" s="22" t="n"/>
      <c r="G204" s="22" t="n"/>
      <c r="H204" s="23">
        <f>IF(B204="","",ROUND(F204/B204,2))</f>
        <v/>
      </c>
      <c r="I204" s="24" t="n"/>
    </row>
    <row r="205">
      <c r="A205" s="21" t="n"/>
      <c r="B205" s="22" t="n"/>
      <c r="C205" s="22" t="n"/>
      <c r="D205" s="22" t="n"/>
      <c r="E205" s="22" t="n"/>
      <c r="F205" s="22" t="n"/>
      <c r="G205" s="22" t="n"/>
      <c r="H205" s="23">
        <f>IF(B205="","",ROUND(F205/B205,2))</f>
        <v/>
      </c>
      <c r="I205" s="24" t="n"/>
    </row>
    <row r="206">
      <c r="A206" s="21" t="n"/>
      <c r="B206" s="22" t="n"/>
      <c r="C206" s="22" t="n"/>
      <c r="D206" s="22" t="n"/>
      <c r="E206" s="22" t="n"/>
      <c r="F206" s="22" t="n"/>
      <c r="G206" s="22" t="n"/>
      <c r="H206" s="23">
        <f>IF(B206="","",ROUND(F206/B206,2))</f>
        <v/>
      </c>
      <c r="I206" s="24" t="n"/>
    </row>
    <row r="207">
      <c r="A207" s="21" t="n"/>
      <c r="B207" s="22" t="n"/>
      <c r="C207" s="22" t="n"/>
      <c r="D207" s="22" t="n"/>
      <c r="E207" s="22" t="n"/>
      <c r="F207" s="22" t="n"/>
      <c r="G207" s="22" t="n"/>
      <c r="H207" s="23">
        <f>IF(B207="","",ROUND(F207/B207,2))</f>
        <v/>
      </c>
      <c r="I207" s="24" t="n"/>
    </row>
    <row r="208">
      <c r="A208" s="21" t="n"/>
      <c r="B208" s="22" t="n"/>
      <c r="C208" s="22" t="n"/>
      <c r="D208" s="22" t="n"/>
      <c r="E208" s="22" t="n"/>
      <c r="F208" s="22" t="n"/>
      <c r="G208" s="22" t="n"/>
      <c r="H208" s="23">
        <f>IF(B208="","",ROUND(F208/B208,2))</f>
        <v/>
      </c>
      <c r="I208" s="24" t="n"/>
    </row>
    <row r="209">
      <c r="A209" s="21" t="n"/>
      <c r="B209" s="22" t="n"/>
      <c r="C209" s="22" t="n"/>
      <c r="D209" s="22" t="n"/>
      <c r="E209" s="22" t="n"/>
      <c r="F209" s="22" t="n"/>
      <c r="G209" s="22" t="n"/>
      <c r="H209" s="23">
        <f>IF(B209="","",ROUND(F209/B209,2))</f>
        <v/>
      </c>
      <c r="I209" s="24" t="n"/>
    </row>
    <row r="210">
      <c r="A210" s="21" t="n"/>
      <c r="B210" s="22" t="n"/>
      <c r="C210" s="22" t="n"/>
      <c r="D210" s="22" t="n"/>
      <c r="E210" s="22" t="n"/>
      <c r="F210" s="22" t="n"/>
      <c r="G210" s="22" t="n"/>
      <c r="H210" s="23">
        <f>IF(B210="","",ROUND(F210/B210,2))</f>
        <v/>
      </c>
      <c r="I210" s="24" t="n"/>
    </row>
    <row r="211">
      <c r="A211" s="21" t="n"/>
      <c r="B211" s="22" t="n"/>
      <c r="C211" s="22" t="n"/>
      <c r="D211" s="22" t="n"/>
      <c r="E211" s="22" t="n"/>
      <c r="F211" s="22" t="n"/>
      <c r="G211" s="22" t="n"/>
      <c r="H211" s="23">
        <f>IF(B211="","",ROUND(F211/B211,2))</f>
        <v/>
      </c>
      <c r="I211" s="24" t="n"/>
    </row>
    <row r="212">
      <c r="A212" s="21" t="n"/>
      <c r="B212" s="22" t="n"/>
      <c r="C212" s="22" t="n"/>
      <c r="D212" s="22" t="n"/>
      <c r="E212" s="22" t="n"/>
      <c r="F212" s="22" t="n"/>
      <c r="G212" s="22" t="n"/>
      <c r="H212" s="23">
        <f>IF(B212="","",ROUND(F212/B212,2))</f>
        <v/>
      </c>
      <c r="I212" s="24" t="n"/>
    </row>
    <row r="213">
      <c r="A213" s="21" t="n"/>
      <c r="B213" s="22" t="n"/>
      <c r="C213" s="22" t="n"/>
      <c r="D213" s="22" t="n"/>
      <c r="E213" s="22" t="n"/>
      <c r="F213" s="22" t="n"/>
      <c r="G213" s="22" t="n"/>
      <c r="H213" s="23">
        <f>IF(B213="","",ROUND(F213/B213,2))</f>
        <v/>
      </c>
      <c r="I213" s="24" t="n"/>
    </row>
    <row r="214">
      <c r="A214" s="21" t="n"/>
      <c r="B214" s="22" t="n"/>
      <c r="C214" s="22" t="n"/>
      <c r="D214" s="22" t="n"/>
      <c r="E214" s="22" t="n"/>
      <c r="F214" s="22" t="n"/>
      <c r="G214" s="22" t="n"/>
      <c r="H214" s="23">
        <f>IF(B214="","",ROUND(F214/B214,2))</f>
        <v/>
      </c>
      <c r="I214" s="24" t="n"/>
    </row>
    <row r="215">
      <c r="A215" s="21" t="n"/>
      <c r="B215" s="22" t="n"/>
      <c r="C215" s="22" t="n"/>
      <c r="D215" s="22" t="n"/>
      <c r="E215" s="22" t="n"/>
      <c r="F215" s="22" t="n"/>
      <c r="G215" s="22" t="n"/>
      <c r="H215" s="23">
        <f>IF(B215="","",ROUND(F215/B215,2))</f>
        <v/>
      </c>
      <c r="I215" s="24" t="n"/>
    </row>
    <row r="216">
      <c r="A216" s="21" t="n"/>
      <c r="B216" s="22" t="n"/>
      <c r="C216" s="22" t="n"/>
      <c r="D216" s="22" t="n"/>
      <c r="E216" s="22" t="n"/>
      <c r="F216" s="22" t="n"/>
      <c r="G216" s="22" t="n"/>
      <c r="H216" s="23">
        <f>IF(B216="","",ROUND(F216/B216,2))</f>
        <v/>
      </c>
      <c r="I216" s="24" t="n"/>
    </row>
    <row r="217">
      <c r="A217" s="21" t="n"/>
      <c r="B217" s="22" t="n"/>
      <c r="C217" s="22" t="n"/>
      <c r="D217" s="22" t="n"/>
      <c r="E217" s="22" t="n"/>
      <c r="F217" s="22" t="n"/>
      <c r="G217" s="22" t="n"/>
      <c r="H217" s="23">
        <f>IF(B217="","",ROUND(F217/B217,2))</f>
        <v/>
      </c>
      <c r="I217" s="24" t="n"/>
    </row>
    <row r="218">
      <c r="A218" s="21" t="n"/>
      <c r="B218" s="22" t="n"/>
      <c r="C218" s="22" t="n"/>
      <c r="D218" s="22" t="n"/>
      <c r="E218" s="22" t="n"/>
      <c r="F218" s="22" t="n"/>
      <c r="G218" s="22" t="n"/>
      <c r="H218" s="23">
        <f>IF(B218="","",ROUND(F218/B218,2))</f>
        <v/>
      </c>
      <c r="I218" s="24" t="n"/>
    </row>
    <row r="219">
      <c r="A219" s="21" t="n"/>
      <c r="B219" s="22" t="n"/>
      <c r="C219" s="22" t="n"/>
      <c r="D219" s="22" t="n"/>
      <c r="E219" s="22" t="n"/>
      <c r="F219" s="22" t="n"/>
      <c r="G219" s="22" t="n"/>
      <c r="H219" s="23">
        <f>IF(B219="","",ROUND(F219/B219,2))</f>
        <v/>
      </c>
      <c r="I219" s="24" t="n"/>
    </row>
    <row r="220">
      <c r="A220" s="21" t="n"/>
      <c r="B220" s="22" t="n"/>
      <c r="C220" s="22" t="n"/>
      <c r="D220" s="22" t="n"/>
      <c r="E220" s="22" t="n"/>
      <c r="F220" s="22" t="n"/>
      <c r="G220" s="22" t="n"/>
      <c r="H220" s="23">
        <f>IF(B220="","",ROUND(F220/B220,2))</f>
        <v/>
      </c>
      <c r="I220" s="24" t="n"/>
    </row>
    <row r="221">
      <c r="A221" s="21" t="n"/>
      <c r="B221" s="22" t="n"/>
      <c r="C221" s="22" t="n"/>
      <c r="D221" s="22" t="n"/>
      <c r="E221" s="22" t="n"/>
      <c r="F221" s="22" t="n"/>
      <c r="G221" s="22" t="n"/>
      <c r="H221" s="23">
        <f>IF(B221="","",ROUND(F221/B221,2))</f>
        <v/>
      </c>
      <c r="I221" s="24" t="n"/>
    </row>
    <row r="222">
      <c r="A222" s="21" t="n"/>
      <c r="B222" s="22" t="n"/>
      <c r="C222" s="22" t="n"/>
      <c r="D222" s="22" t="n"/>
      <c r="E222" s="22" t="n"/>
      <c r="F222" s="22" t="n"/>
      <c r="G222" s="22" t="n"/>
      <c r="H222" s="23">
        <f>IF(B222="","",ROUND(F222/B222,2))</f>
        <v/>
      </c>
      <c r="I222" s="24" t="n"/>
    </row>
    <row r="223">
      <c r="A223" s="21" t="n"/>
      <c r="B223" s="22" t="n"/>
      <c r="C223" s="22" t="n"/>
      <c r="D223" s="22" t="n"/>
      <c r="E223" s="22" t="n"/>
      <c r="F223" s="22" t="n"/>
      <c r="G223" s="22" t="n"/>
      <c r="H223" s="23">
        <f>IF(B223="","",ROUND(F223/B223,2))</f>
        <v/>
      </c>
      <c r="I223" s="24" t="n"/>
    </row>
    <row r="224">
      <c r="A224" s="21" t="n"/>
      <c r="B224" s="22" t="n"/>
      <c r="C224" s="22" t="n"/>
      <c r="D224" s="22" t="n"/>
      <c r="E224" s="22" t="n"/>
      <c r="F224" s="22" t="n"/>
      <c r="G224" s="22" t="n"/>
      <c r="H224" s="23">
        <f>IF(B224="","",ROUND(F224/B224,2))</f>
        <v/>
      </c>
      <c r="I224" s="24" t="n"/>
    </row>
    <row r="225">
      <c r="A225" s="21" t="n"/>
      <c r="B225" s="22" t="n"/>
      <c r="C225" s="22" t="n"/>
      <c r="D225" s="22" t="n"/>
      <c r="E225" s="22" t="n"/>
      <c r="F225" s="22" t="n"/>
      <c r="G225" s="22" t="n"/>
      <c r="H225" s="23">
        <f>IF(B225="","",ROUND(F225/B225,2))</f>
        <v/>
      </c>
      <c r="I225" s="24" t="n"/>
    </row>
    <row r="226">
      <c r="A226" s="21" t="n"/>
      <c r="B226" s="22" t="n"/>
      <c r="C226" s="22" t="n"/>
      <c r="D226" s="22" t="n"/>
      <c r="E226" s="22" t="n"/>
      <c r="F226" s="22" t="n"/>
      <c r="G226" s="22" t="n"/>
      <c r="H226" s="23">
        <f>IF(B226="","",ROUND(F226/B226,2))</f>
        <v/>
      </c>
      <c r="I226" s="24" t="n"/>
    </row>
    <row r="227">
      <c r="A227" s="21" t="n"/>
      <c r="B227" s="22" t="n"/>
      <c r="C227" s="22" t="n"/>
      <c r="D227" s="22" t="n"/>
      <c r="E227" s="22" t="n"/>
      <c r="F227" s="22" t="n"/>
      <c r="G227" s="22" t="n"/>
      <c r="H227" s="23">
        <f>IF(B227="","",ROUND(F227/B227,2))</f>
        <v/>
      </c>
      <c r="I227" s="24" t="n"/>
    </row>
    <row r="228">
      <c r="A228" s="21" t="n"/>
      <c r="B228" s="22" t="n"/>
      <c r="C228" s="22" t="n"/>
      <c r="D228" s="22" t="n"/>
      <c r="E228" s="22" t="n"/>
      <c r="F228" s="22" t="n"/>
      <c r="G228" s="22" t="n"/>
      <c r="H228" s="23">
        <f>IF(B228="","",ROUND(F228/B228,2))</f>
        <v/>
      </c>
      <c r="I228" s="24" t="n"/>
    </row>
    <row r="229">
      <c r="A229" s="21" t="n"/>
      <c r="B229" s="22" t="n"/>
      <c r="C229" s="22" t="n"/>
      <c r="D229" s="22" t="n"/>
      <c r="E229" s="22" t="n"/>
      <c r="F229" s="22" t="n"/>
      <c r="G229" s="22" t="n"/>
      <c r="H229" s="23">
        <f>IF(B229="","",ROUND(F229/B229,2))</f>
        <v/>
      </c>
      <c r="I229" s="24" t="n"/>
    </row>
    <row r="230">
      <c r="A230" s="21" t="n"/>
      <c r="B230" s="22" t="n"/>
      <c r="C230" s="22" t="n"/>
      <c r="D230" s="22" t="n"/>
      <c r="E230" s="22" t="n"/>
      <c r="F230" s="22" t="n"/>
      <c r="G230" s="22" t="n"/>
      <c r="H230" s="23">
        <f>IF(B230="","",ROUND(F230/B230,2))</f>
        <v/>
      </c>
      <c r="I230" s="24" t="n"/>
    </row>
    <row r="231">
      <c r="A231" s="21" t="n"/>
      <c r="B231" s="22" t="n"/>
      <c r="C231" s="22" t="n"/>
      <c r="D231" s="22" t="n"/>
      <c r="E231" s="22" t="n"/>
      <c r="F231" s="22" t="n"/>
      <c r="G231" s="22" t="n"/>
      <c r="H231" s="23">
        <f>IF(B231="","",ROUND(F231/B231,2))</f>
        <v/>
      </c>
      <c r="I231" s="24" t="n"/>
    </row>
    <row r="232">
      <c r="A232" s="21" t="n"/>
      <c r="B232" s="22" t="n"/>
      <c r="C232" s="22" t="n"/>
      <c r="D232" s="22" t="n"/>
      <c r="E232" s="22" t="n"/>
      <c r="F232" s="22" t="n"/>
      <c r="G232" s="22" t="n"/>
      <c r="H232" s="23">
        <f>IF(B232="","",ROUND(F232/B232,2))</f>
        <v/>
      </c>
      <c r="I232" s="24" t="n"/>
    </row>
    <row r="233">
      <c r="A233" s="21" t="n"/>
      <c r="B233" s="22" t="n"/>
      <c r="C233" s="22" t="n"/>
      <c r="D233" s="22" t="n"/>
      <c r="E233" s="22" t="n"/>
      <c r="F233" s="22" t="n"/>
      <c r="G233" s="22" t="n"/>
      <c r="H233" s="23">
        <f>IF(B233="","",ROUND(F233/B233,2))</f>
        <v/>
      </c>
      <c r="I233" s="24" t="n"/>
    </row>
    <row r="234">
      <c r="A234" s="21" t="n"/>
      <c r="B234" s="22" t="n"/>
      <c r="C234" s="22" t="n"/>
      <c r="D234" s="22" t="n"/>
      <c r="E234" s="22" t="n"/>
      <c r="F234" s="22" t="n"/>
      <c r="G234" s="22" t="n"/>
      <c r="H234" s="23">
        <f>IF(B234="","",ROUND(F234/B234,2))</f>
        <v/>
      </c>
      <c r="I234" s="24" t="n"/>
    </row>
    <row r="235">
      <c r="A235" s="21" t="n"/>
      <c r="B235" s="22" t="n"/>
      <c r="C235" s="22" t="n"/>
      <c r="D235" s="22" t="n"/>
      <c r="E235" s="22" t="n"/>
      <c r="F235" s="22" t="n"/>
      <c r="G235" s="22" t="n"/>
      <c r="H235" s="23">
        <f>IF(B235="","",ROUND(F235/B235,2))</f>
        <v/>
      </c>
      <c r="I235" s="24" t="n"/>
    </row>
    <row r="236">
      <c r="A236" s="21" t="n"/>
      <c r="B236" s="22" t="n"/>
      <c r="C236" s="22" t="n"/>
      <c r="D236" s="22" t="n"/>
      <c r="E236" s="22" t="n"/>
      <c r="F236" s="22" t="n"/>
      <c r="G236" s="22" t="n"/>
      <c r="H236" s="23">
        <f>IF(B236="","",ROUND(F236/B236,2))</f>
        <v/>
      </c>
      <c r="I236" s="24" t="n"/>
    </row>
    <row r="237">
      <c r="A237" s="21" t="n"/>
      <c r="B237" s="22" t="n"/>
      <c r="C237" s="22" t="n"/>
      <c r="D237" s="22" t="n"/>
      <c r="E237" s="22" t="n"/>
      <c r="F237" s="22" t="n"/>
      <c r="G237" s="22" t="n"/>
      <c r="H237" s="23">
        <f>IF(B237="","",ROUND(F237/B237,2))</f>
        <v/>
      </c>
      <c r="I237" s="24" t="n"/>
    </row>
    <row r="238">
      <c r="A238" s="21" t="n"/>
      <c r="B238" s="22" t="n"/>
      <c r="C238" s="22" t="n"/>
      <c r="D238" s="22" t="n"/>
      <c r="E238" s="22" t="n"/>
      <c r="F238" s="22" t="n"/>
      <c r="G238" s="22" t="n"/>
      <c r="H238" s="23">
        <f>IF(B238="","",ROUND(F238/B238,2))</f>
        <v/>
      </c>
      <c r="I238" s="24" t="n"/>
    </row>
    <row r="239">
      <c r="A239" s="21" t="n"/>
      <c r="B239" s="22" t="n"/>
      <c r="C239" s="22" t="n"/>
      <c r="D239" s="22" t="n"/>
      <c r="E239" s="22" t="n"/>
      <c r="F239" s="22" t="n"/>
      <c r="G239" s="22" t="n"/>
      <c r="H239" s="23">
        <f>IF(B239="","",ROUND(F239/B239,2))</f>
        <v/>
      </c>
      <c r="I239" s="24" t="n"/>
    </row>
    <row r="240">
      <c r="A240" s="21" t="n"/>
      <c r="B240" s="22" t="n"/>
      <c r="C240" s="22" t="n"/>
      <c r="D240" s="22" t="n"/>
      <c r="E240" s="22" t="n"/>
      <c r="F240" s="22" t="n"/>
      <c r="G240" s="22" t="n"/>
      <c r="H240" s="23">
        <f>IF(B240="","",ROUND(F240/B240,2))</f>
        <v/>
      </c>
      <c r="I240" s="24" t="n"/>
    </row>
    <row r="241">
      <c r="A241" s="21" t="n"/>
      <c r="B241" s="22" t="n"/>
      <c r="C241" s="22" t="n"/>
      <c r="D241" s="22" t="n"/>
      <c r="E241" s="22" t="n"/>
      <c r="F241" s="22" t="n"/>
      <c r="G241" s="22" t="n"/>
      <c r="H241" s="23">
        <f>IF(B241="","",ROUND(F241/B241,2))</f>
        <v/>
      </c>
      <c r="I241" s="24" t="n"/>
    </row>
    <row r="242">
      <c r="A242" s="21" t="n"/>
      <c r="B242" s="22" t="n"/>
      <c r="C242" s="22" t="n"/>
      <c r="D242" s="22" t="n"/>
      <c r="E242" s="22" t="n"/>
      <c r="F242" s="22" t="n"/>
      <c r="G242" s="22" t="n"/>
      <c r="H242" s="23">
        <f>IF(B242="","",ROUND(F242/B242,2))</f>
        <v/>
      </c>
      <c r="I242" s="24" t="n"/>
    </row>
    <row r="243">
      <c r="A243" s="21" t="n"/>
      <c r="B243" s="22" t="n"/>
      <c r="C243" s="22" t="n"/>
      <c r="D243" s="22" t="n"/>
      <c r="E243" s="22" t="n"/>
      <c r="F243" s="22" t="n"/>
      <c r="G243" s="22" t="n"/>
      <c r="H243" s="23">
        <f>IF(B243="","",ROUND(F243/B243,2))</f>
        <v/>
      </c>
      <c r="I243" s="24" t="n"/>
    </row>
    <row r="244">
      <c r="A244" s="21" t="n"/>
      <c r="B244" s="22" t="n"/>
      <c r="C244" s="22" t="n"/>
      <c r="D244" s="22" t="n"/>
      <c r="E244" s="22" t="n"/>
      <c r="F244" s="22" t="n"/>
      <c r="G244" s="22" t="n"/>
      <c r="H244" s="23">
        <f>IF(B244="","",ROUND(F244/B244,2))</f>
        <v/>
      </c>
      <c r="I244" s="24" t="n"/>
    </row>
    <row r="245">
      <c r="A245" s="21" t="n"/>
      <c r="B245" s="22" t="n"/>
      <c r="C245" s="22" t="n"/>
      <c r="D245" s="22" t="n"/>
      <c r="E245" s="22" t="n"/>
      <c r="F245" s="22" t="n"/>
      <c r="G245" s="22" t="n"/>
      <c r="H245" s="23">
        <f>IF(B245="","",ROUND(F245/B245,2))</f>
        <v/>
      </c>
      <c r="I245" s="24" t="n"/>
    </row>
    <row r="246">
      <c r="A246" s="21" t="n"/>
      <c r="B246" s="22" t="n"/>
      <c r="C246" s="22" t="n"/>
      <c r="D246" s="22" t="n"/>
      <c r="E246" s="22" t="n"/>
      <c r="F246" s="22" t="n"/>
      <c r="G246" s="22" t="n"/>
      <c r="H246" s="23">
        <f>IF(B246="","",ROUND(F246/B246,2))</f>
        <v/>
      </c>
      <c r="I246" s="24" t="n"/>
    </row>
    <row r="247">
      <c r="A247" s="21" t="n"/>
      <c r="B247" s="22" t="n"/>
      <c r="C247" s="22" t="n"/>
      <c r="D247" s="22" t="n"/>
      <c r="E247" s="22" t="n"/>
      <c r="F247" s="22" t="n"/>
      <c r="G247" s="22" t="n"/>
      <c r="H247" s="23">
        <f>IF(B247="","",ROUND(F247/B247,2))</f>
        <v/>
      </c>
      <c r="I247" s="24" t="n"/>
    </row>
    <row r="248">
      <c r="A248" s="21" t="n"/>
      <c r="B248" s="22" t="n"/>
      <c r="C248" s="22" t="n"/>
      <c r="D248" s="22" t="n"/>
      <c r="E248" s="22" t="n"/>
      <c r="F248" s="22" t="n"/>
      <c r="G248" s="22" t="n"/>
      <c r="H248" s="23">
        <f>IF(B248="","",ROUND(F248/B248,2))</f>
        <v/>
      </c>
      <c r="I248" s="24" t="n"/>
    </row>
    <row r="249">
      <c r="A249" s="21" t="n"/>
      <c r="B249" s="22" t="n"/>
      <c r="C249" s="22" t="n"/>
      <c r="D249" s="22" t="n"/>
      <c r="E249" s="22" t="n"/>
      <c r="F249" s="22" t="n"/>
      <c r="G249" s="22" t="n"/>
      <c r="H249" s="23">
        <f>IF(B249="","",ROUND(F249/B249,2))</f>
        <v/>
      </c>
      <c r="I249" s="24" t="n"/>
    </row>
    <row r="250">
      <c r="A250" s="21" t="n"/>
      <c r="B250" s="22" t="n"/>
      <c r="C250" s="22" t="n"/>
      <c r="D250" s="22" t="n"/>
      <c r="E250" s="22" t="n"/>
      <c r="F250" s="22" t="n"/>
      <c r="G250" s="22" t="n"/>
      <c r="H250" s="23">
        <f>IF(B250="","",ROUND(F250/B250,2))</f>
        <v/>
      </c>
      <c r="I250" s="24" t="n"/>
    </row>
    <row r="251">
      <c r="A251" s="21" t="n"/>
      <c r="B251" s="22" t="n"/>
      <c r="C251" s="22" t="n"/>
      <c r="D251" s="22" t="n"/>
      <c r="E251" s="22" t="n"/>
      <c r="F251" s="22" t="n"/>
      <c r="G251" s="22" t="n"/>
      <c r="H251" s="23">
        <f>IF(B251="","",ROUND(F251/B251,2))</f>
        <v/>
      </c>
      <c r="I251" s="24" t="n"/>
    </row>
    <row r="252">
      <c r="A252" s="21" t="n"/>
      <c r="B252" s="22" t="n"/>
      <c r="C252" s="22" t="n"/>
      <c r="D252" s="22" t="n"/>
      <c r="E252" s="22" t="n"/>
      <c r="F252" s="22" t="n"/>
      <c r="G252" s="22" t="n"/>
      <c r="H252" s="23">
        <f>IF(B252="","",ROUND(F252/B252,2))</f>
        <v/>
      </c>
      <c r="I252" s="24" t="n"/>
    </row>
    <row r="253">
      <c r="A253" s="21" t="n"/>
      <c r="B253" s="22" t="n"/>
      <c r="C253" s="22" t="n"/>
      <c r="D253" s="22" t="n"/>
      <c r="E253" s="22" t="n"/>
      <c r="F253" s="22" t="n"/>
      <c r="G253" s="22" t="n"/>
      <c r="H253" s="23">
        <f>IF(B253="","",ROUND(F253/B253,2))</f>
        <v/>
      </c>
      <c r="I253" s="24" t="n"/>
    </row>
    <row r="254">
      <c r="A254" s="21" t="n"/>
      <c r="B254" s="22" t="n"/>
      <c r="C254" s="22" t="n"/>
      <c r="D254" s="22" t="n"/>
      <c r="E254" s="22" t="n"/>
      <c r="F254" s="22" t="n"/>
      <c r="G254" s="22" t="n"/>
      <c r="H254" s="23">
        <f>IF(B254="","",ROUND(F254/B254,2))</f>
        <v/>
      </c>
      <c r="I254" s="24" t="n"/>
    </row>
    <row r="255">
      <c r="A255" s="21" t="n"/>
      <c r="B255" s="22" t="n"/>
      <c r="C255" s="22" t="n"/>
      <c r="D255" s="22" t="n"/>
      <c r="E255" s="22" t="n"/>
      <c r="F255" s="22" t="n"/>
      <c r="G255" s="22" t="n"/>
      <c r="H255" s="23">
        <f>IF(B255="","",ROUND(F255/B255,2))</f>
        <v/>
      </c>
      <c r="I255" s="24" t="n"/>
    </row>
    <row r="256">
      <c r="A256" s="21" t="n"/>
      <c r="B256" s="22" t="n"/>
      <c r="C256" s="22" t="n"/>
      <c r="D256" s="22" t="n"/>
      <c r="E256" s="22" t="n"/>
      <c r="F256" s="22" t="n"/>
      <c r="G256" s="22" t="n"/>
      <c r="H256" s="23">
        <f>IF(B256="","",ROUND(F256/B256,2))</f>
        <v/>
      </c>
      <c r="I256" s="24" t="n"/>
    </row>
    <row r="257">
      <c r="A257" s="21" t="n"/>
      <c r="B257" s="22" t="n"/>
      <c r="C257" s="22" t="n"/>
      <c r="D257" s="22" t="n"/>
      <c r="E257" s="22" t="n"/>
      <c r="F257" s="22" t="n"/>
      <c r="G257" s="22" t="n"/>
      <c r="H257" s="23">
        <f>IF(B257="","",ROUND(F257/B257,2))</f>
        <v/>
      </c>
      <c r="I257" s="24" t="n"/>
    </row>
    <row r="258">
      <c r="A258" s="21" t="n"/>
      <c r="B258" s="22" t="n"/>
      <c r="C258" s="22" t="n"/>
      <c r="D258" s="22" t="n"/>
      <c r="E258" s="22" t="n"/>
      <c r="F258" s="22" t="n"/>
      <c r="G258" s="22" t="n"/>
      <c r="H258" s="23">
        <f>IF(B258="","",ROUND(F258/B258,2))</f>
        <v/>
      </c>
      <c r="I258" s="24" t="n"/>
    </row>
    <row r="259">
      <c r="A259" s="21" t="n"/>
      <c r="B259" s="22" t="n"/>
      <c r="C259" s="22" t="n"/>
      <c r="D259" s="22" t="n"/>
      <c r="E259" s="22" t="n"/>
      <c r="F259" s="22" t="n"/>
      <c r="G259" s="22" t="n"/>
      <c r="H259" s="23">
        <f>IF(B259="","",ROUND(F259/B259,2))</f>
        <v/>
      </c>
      <c r="I259" s="24" t="n"/>
    </row>
    <row r="260">
      <c r="A260" s="21" t="n"/>
      <c r="B260" s="22" t="n"/>
      <c r="C260" s="22" t="n"/>
      <c r="D260" s="22" t="n"/>
      <c r="E260" s="22" t="n"/>
      <c r="F260" s="22" t="n"/>
      <c r="G260" s="22" t="n"/>
      <c r="H260" s="23">
        <f>IF(B260="","",ROUND(F260/B260,2))</f>
        <v/>
      </c>
      <c r="I260" s="24" t="n"/>
    </row>
    <row r="261">
      <c r="A261" s="21" t="n"/>
      <c r="B261" s="22" t="n"/>
      <c r="C261" s="22" t="n"/>
      <c r="D261" s="22" t="n"/>
      <c r="E261" s="22" t="n"/>
      <c r="F261" s="22" t="n"/>
      <c r="G261" s="22" t="n"/>
      <c r="H261" s="23">
        <f>IF(B261="","",ROUND(F261/B261,2))</f>
        <v/>
      </c>
      <c r="I261" s="24" t="n"/>
    </row>
    <row r="262">
      <c r="A262" s="21" t="n"/>
      <c r="B262" s="22" t="n"/>
      <c r="C262" s="22" t="n"/>
      <c r="D262" s="22" t="n"/>
      <c r="E262" s="22" t="n"/>
      <c r="F262" s="22" t="n"/>
      <c r="G262" s="22" t="n"/>
      <c r="H262" s="23">
        <f>IF(B262="","",ROUND(F262/B262,2))</f>
        <v/>
      </c>
      <c r="I262" s="24" t="n"/>
    </row>
    <row r="263">
      <c r="A263" s="21" t="n"/>
      <c r="B263" s="22" t="n"/>
      <c r="C263" s="22" t="n"/>
      <c r="D263" s="22" t="n"/>
      <c r="E263" s="22" t="n"/>
      <c r="F263" s="22" t="n"/>
      <c r="G263" s="22" t="n"/>
      <c r="H263" s="23">
        <f>IF(B263="","",ROUND(F263/B263,2))</f>
        <v/>
      </c>
      <c r="I263" s="24" t="n"/>
    </row>
    <row r="264">
      <c r="A264" s="21" t="n"/>
      <c r="B264" s="22" t="n"/>
      <c r="C264" s="22" t="n"/>
      <c r="D264" s="22" t="n"/>
      <c r="E264" s="22" t="n"/>
      <c r="F264" s="22" t="n"/>
      <c r="G264" s="22" t="n"/>
      <c r="H264" s="23">
        <f>IF(B264="","",ROUND(F264/B264,2))</f>
        <v/>
      </c>
      <c r="I264" s="24" t="n"/>
    </row>
    <row r="265">
      <c r="A265" s="21" t="n"/>
      <c r="B265" s="22" t="n"/>
      <c r="C265" s="22" t="n"/>
      <c r="D265" s="22" t="n"/>
      <c r="E265" s="22" t="n"/>
      <c r="F265" s="22" t="n"/>
      <c r="G265" s="22" t="n"/>
      <c r="H265" s="23">
        <f>IF(B265="","",ROUND(F265/B265,2))</f>
        <v/>
      </c>
      <c r="I265" s="24" t="n"/>
    </row>
    <row r="266">
      <c r="A266" s="21" t="n"/>
      <c r="B266" s="22" t="n"/>
      <c r="C266" s="22" t="n"/>
      <c r="D266" s="22" t="n"/>
      <c r="E266" s="22" t="n"/>
      <c r="F266" s="22" t="n"/>
      <c r="G266" s="22" t="n"/>
      <c r="H266" s="23">
        <f>IF(B266="","",ROUND(F266/B266,2))</f>
        <v/>
      </c>
      <c r="I266" s="24" t="n"/>
    </row>
    <row r="267">
      <c r="A267" s="21" t="n"/>
      <c r="B267" s="22" t="n"/>
      <c r="C267" s="22" t="n"/>
      <c r="D267" s="22" t="n"/>
      <c r="E267" s="22" t="n"/>
      <c r="F267" s="22" t="n"/>
      <c r="G267" s="22" t="n"/>
      <c r="H267" s="23">
        <f>IF(B267="","",ROUND(F267/B267,2))</f>
        <v/>
      </c>
      <c r="I267" s="24" t="n"/>
    </row>
    <row r="268">
      <c r="A268" s="21" t="n"/>
      <c r="B268" s="22" t="n"/>
      <c r="C268" s="22" t="n"/>
      <c r="D268" s="22" t="n"/>
      <c r="E268" s="22" t="n"/>
      <c r="F268" s="22" t="n"/>
      <c r="G268" s="22" t="n"/>
      <c r="H268" s="23">
        <f>IF(B268="","",ROUND(F268/B268,2))</f>
        <v/>
      </c>
      <c r="I268" s="24" t="n"/>
    </row>
    <row r="269">
      <c r="A269" s="21" t="n"/>
      <c r="B269" s="22" t="n"/>
      <c r="C269" s="22" t="n"/>
      <c r="D269" s="22" t="n"/>
      <c r="E269" s="22" t="n"/>
      <c r="F269" s="22" t="n"/>
      <c r="G269" s="22" t="n"/>
      <c r="H269" s="23">
        <f>IF(B269="","",ROUND(F269/B269,2))</f>
        <v/>
      </c>
      <c r="I269" s="24" t="n"/>
    </row>
    <row r="270">
      <c r="A270" s="21" t="n"/>
      <c r="B270" s="22" t="n"/>
      <c r="C270" s="22" t="n"/>
      <c r="D270" s="22" t="n"/>
      <c r="E270" s="22" t="n"/>
      <c r="F270" s="22" t="n"/>
      <c r="G270" s="22" t="n"/>
      <c r="H270" s="23">
        <f>IF(B270="","",ROUND(F270/B270,2))</f>
        <v/>
      </c>
      <c r="I270" s="24" t="n"/>
    </row>
    <row r="271">
      <c r="A271" s="21" t="n"/>
      <c r="B271" s="22" t="n"/>
      <c r="C271" s="22" t="n"/>
      <c r="D271" s="22" t="n"/>
      <c r="E271" s="22" t="n"/>
      <c r="F271" s="22" t="n"/>
      <c r="G271" s="22" t="n"/>
      <c r="H271" s="23">
        <f>IF(B271="","",ROUND(F271/B271,2))</f>
        <v/>
      </c>
      <c r="I271" s="24" t="n"/>
    </row>
    <row r="272">
      <c r="A272" s="21" t="n"/>
      <c r="B272" s="22" t="n"/>
      <c r="C272" s="22" t="n"/>
      <c r="D272" s="22" t="n"/>
      <c r="E272" s="22" t="n"/>
      <c r="F272" s="22" t="n"/>
      <c r="G272" s="22" t="n"/>
      <c r="H272" s="23">
        <f>IF(B272="","",ROUND(F272/B272,2))</f>
        <v/>
      </c>
      <c r="I272" s="24" t="n"/>
    </row>
    <row r="273">
      <c r="A273" s="21" t="n"/>
      <c r="B273" s="22" t="n"/>
      <c r="C273" s="22" t="n"/>
      <c r="D273" s="22" t="n"/>
      <c r="E273" s="22" t="n"/>
      <c r="F273" s="22" t="n"/>
      <c r="G273" s="22" t="n"/>
      <c r="H273" s="23">
        <f>IF(B273="","",ROUND(F273/B273,2))</f>
        <v/>
      </c>
      <c r="I273" s="24" t="n"/>
    </row>
    <row r="274">
      <c r="A274" s="21" t="n"/>
      <c r="B274" s="22" t="n"/>
      <c r="C274" s="22" t="n"/>
      <c r="D274" s="22" t="n"/>
      <c r="E274" s="22" t="n"/>
      <c r="F274" s="22" t="n"/>
      <c r="G274" s="22" t="n"/>
      <c r="H274" s="23">
        <f>IF(B274="","",ROUND(F274/B274,2))</f>
        <v/>
      </c>
      <c r="I274" s="24" t="n"/>
    </row>
    <row r="275">
      <c r="A275" s="21" t="n"/>
      <c r="B275" s="22" t="n"/>
      <c r="C275" s="22" t="n"/>
      <c r="D275" s="22" t="n"/>
      <c r="E275" s="22" t="n"/>
      <c r="F275" s="22" t="n"/>
      <c r="G275" s="22" t="n"/>
      <c r="H275" s="23">
        <f>IF(B275="","",ROUND(F275/B275,2))</f>
        <v/>
      </c>
      <c r="I275" s="24" t="n"/>
    </row>
    <row r="276">
      <c r="A276" s="21" t="n"/>
      <c r="B276" s="22" t="n"/>
      <c r="C276" s="22" t="n"/>
      <c r="D276" s="22" t="n"/>
      <c r="E276" s="22" t="n"/>
      <c r="F276" s="22" t="n"/>
      <c r="G276" s="22" t="n"/>
      <c r="H276" s="23">
        <f>IF(B276="","",ROUND(F276/B276,2))</f>
        <v/>
      </c>
      <c r="I276" s="24" t="n"/>
    </row>
    <row r="277">
      <c r="A277" s="21" t="n"/>
      <c r="B277" s="22" t="n"/>
      <c r="C277" s="22" t="n"/>
      <c r="D277" s="22" t="n"/>
      <c r="E277" s="22" t="n"/>
      <c r="F277" s="22" t="n"/>
      <c r="G277" s="22" t="n"/>
      <c r="H277" s="23">
        <f>IF(B277="","",ROUND(F277/B277,2))</f>
        <v/>
      </c>
      <c r="I277" s="24" t="n"/>
    </row>
    <row r="278">
      <c r="A278" s="21" t="n"/>
      <c r="B278" s="22" t="n"/>
      <c r="C278" s="22" t="n"/>
      <c r="D278" s="22" t="n"/>
      <c r="E278" s="22" t="n"/>
      <c r="F278" s="22" t="n"/>
      <c r="G278" s="22" t="n"/>
      <c r="H278" s="23">
        <f>IF(B278="","",ROUND(F278/B278,2))</f>
        <v/>
      </c>
      <c r="I278" s="24" t="n"/>
    </row>
    <row r="279">
      <c r="A279" s="21" t="n"/>
      <c r="B279" s="22" t="n"/>
      <c r="C279" s="22" t="n"/>
      <c r="D279" s="22" t="n"/>
      <c r="E279" s="22" t="n"/>
      <c r="F279" s="22" t="n"/>
      <c r="G279" s="22" t="n"/>
      <c r="H279" s="23">
        <f>IF(B279="","",ROUND(F279/B279,2))</f>
        <v/>
      </c>
      <c r="I279" s="24" t="n"/>
    </row>
    <row r="280">
      <c r="A280" s="21" t="n"/>
      <c r="B280" s="22" t="n"/>
      <c r="C280" s="22" t="n"/>
      <c r="D280" s="22" t="n"/>
      <c r="E280" s="22" t="n"/>
      <c r="F280" s="22" t="n"/>
      <c r="G280" s="22" t="n"/>
      <c r="H280" s="23">
        <f>IF(B280="","",ROUND(F280/B280,2))</f>
        <v/>
      </c>
      <c r="I280" s="24" t="n"/>
    </row>
    <row r="281">
      <c r="A281" s="21" t="n"/>
      <c r="B281" s="22" t="n"/>
      <c r="C281" s="22" t="n"/>
      <c r="D281" s="22" t="n"/>
      <c r="E281" s="22" t="n"/>
      <c r="F281" s="22" t="n"/>
      <c r="G281" s="22" t="n"/>
      <c r="H281" s="23">
        <f>IF(B281="","",ROUND(F281/B281,2))</f>
        <v/>
      </c>
      <c r="I281" s="24" t="n"/>
    </row>
    <row r="282">
      <c r="A282" s="21" t="n"/>
      <c r="B282" s="22" t="n"/>
      <c r="C282" s="22" t="n"/>
      <c r="D282" s="22" t="n"/>
      <c r="E282" s="22" t="n"/>
      <c r="F282" s="22" t="n"/>
      <c r="G282" s="22" t="n"/>
      <c r="H282" s="23">
        <f>IF(B282="","",ROUND(F282/B282,2))</f>
        <v/>
      </c>
      <c r="I282" s="24" t="n"/>
    </row>
    <row r="283">
      <c r="A283" s="21" t="n"/>
      <c r="B283" s="22" t="n"/>
      <c r="C283" s="22" t="n"/>
      <c r="D283" s="22" t="n"/>
      <c r="E283" s="22" t="n"/>
      <c r="F283" s="22" t="n"/>
      <c r="G283" s="22" t="n"/>
      <c r="H283" s="23">
        <f>IF(B283="","",ROUND(F283/B283,2))</f>
        <v/>
      </c>
      <c r="I283" s="24" t="n"/>
    </row>
    <row r="284">
      <c r="A284" s="21" t="n"/>
      <c r="B284" s="22" t="n"/>
      <c r="C284" s="22" t="n"/>
      <c r="D284" s="22" t="n"/>
      <c r="E284" s="22" t="n"/>
      <c r="F284" s="22" t="n"/>
      <c r="G284" s="22" t="n"/>
      <c r="H284" s="23">
        <f>IF(B284="","",ROUND(F284/B284,2))</f>
        <v/>
      </c>
      <c r="I284" s="24" t="n"/>
    </row>
    <row r="285">
      <c r="A285" s="21" t="n"/>
      <c r="B285" s="22" t="n"/>
      <c r="C285" s="22" t="n"/>
      <c r="D285" s="22" t="n"/>
      <c r="E285" s="22" t="n"/>
      <c r="F285" s="22" t="n"/>
      <c r="G285" s="22" t="n"/>
      <c r="H285" s="23">
        <f>IF(B285="","",ROUND(F285/B285,2))</f>
        <v/>
      </c>
      <c r="I285" s="24" t="n"/>
    </row>
    <row r="286">
      <c r="A286" s="21" t="n"/>
      <c r="B286" s="22" t="n"/>
      <c r="C286" s="22" t="n"/>
      <c r="D286" s="22" t="n"/>
      <c r="E286" s="22" t="n"/>
      <c r="F286" s="22" t="n"/>
      <c r="G286" s="22" t="n"/>
      <c r="H286" s="23">
        <f>IF(B286="","",ROUND(F286/B286,2))</f>
        <v/>
      </c>
      <c r="I286" s="24" t="n"/>
    </row>
    <row r="287">
      <c r="A287" s="21" t="n"/>
      <c r="B287" s="22" t="n"/>
      <c r="C287" s="22" t="n"/>
      <c r="D287" s="22" t="n"/>
      <c r="E287" s="22" t="n"/>
      <c r="F287" s="22" t="n"/>
      <c r="G287" s="22" t="n"/>
      <c r="H287" s="23">
        <f>IF(B287="","",ROUND(F287/B287,2))</f>
        <v/>
      </c>
      <c r="I287" s="24" t="n"/>
    </row>
    <row r="288">
      <c r="A288" s="21" t="n"/>
      <c r="B288" s="22" t="n"/>
      <c r="C288" s="22" t="n"/>
      <c r="D288" s="22" t="n"/>
      <c r="E288" s="22" t="n"/>
      <c r="F288" s="22" t="n"/>
      <c r="G288" s="22" t="n"/>
      <c r="H288" s="23">
        <f>IF(B288="","",ROUND(F288/B288,2))</f>
        <v/>
      </c>
      <c r="I288" s="24" t="n"/>
    </row>
    <row r="289">
      <c r="A289" s="21" t="n"/>
      <c r="B289" s="22" t="n"/>
      <c r="C289" s="22" t="n"/>
      <c r="D289" s="22" t="n"/>
      <c r="E289" s="22" t="n"/>
      <c r="F289" s="22" t="n"/>
      <c r="G289" s="22" t="n"/>
      <c r="H289" s="23">
        <f>IF(B289="","",ROUND(F289/B289,2))</f>
        <v/>
      </c>
      <c r="I289" s="24" t="n"/>
    </row>
    <row r="290">
      <c r="A290" s="21" t="n"/>
      <c r="B290" s="22" t="n"/>
      <c r="C290" s="22" t="n"/>
      <c r="D290" s="22" t="n"/>
      <c r="E290" s="22" t="n"/>
      <c r="F290" s="22" t="n"/>
      <c r="G290" s="22" t="n"/>
      <c r="H290" s="23">
        <f>IF(B290="","",ROUND(F290/B290,2))</f>
        <v/>
      </c>
      <c r="I290" s="24" t="n"/>
    </row>
    <row r="291">
      <c r="A291" s="21" t="n"/>
      <c r="B291" s="22" t="n"/>
      <c r="C291" s="22" t="n"/>
      <c r="D291" s="22" t="n"/>
      <c r="E291" s="22" t="n"/>
      <c r="F291" s="22" t="n"/>
      <c r="G291" s="22" t="n"/>
      <c r="H291" s="23">
        <f>IF(B291="","",ROUND(F291/B291,2))</f>
        <v/>
      </c>
      <c r="I291" s="24" t="n"/>
    </row>
    <row r="292">
      <c r="A292" s="21" t="n"/>
      <c r="B292" s="22" t="n"/>
      <c r="C292" s="22" t="n"/>
      <c r="D292" s="22" t="n"/>
      <c r="E292" s="22" t="n"/>
      <c r="F292" s="22" t="n"/>
      <c r="G292" s="22" t="n"/>
      <c r="H292" s="23">
        <f>IF(B292="","",ROUND(F292/B292,2))</f>
        <v/>
      </c>
      <c r="I292" s="24" t="n"/>
    </row>
    <row r="293">
      <c r="A293" s="21" t="n"/>
      <c r="B293" s="22" t="n"/>
      <c r="C293" s="22" t="n"/>
      <c r="D293" s="22" t="n"/>
      <c r="E293" s="22" t="n"/>
      <c r="F293" s="22" t="n"/>
      <c r="G293" s="22" t="n"/>
      <c r="H293" s="23">
        <f>IF(B293="","",ROUND(F293/B293,2))</f>
        <v/>
      </c>
      <c r="I293" s="24" t="n"/>
    </row>
    <row r="294">
      <c r="A294" s="21" t="n"/>
      <c r="B294" s="22" t="n"/>
      <c r="C294" s="22" t="n"/>
      <c r="D294" s="22" t="n"/>
      <c r="E294" s="22" t="n"/>
      <c r="F294" s="22" t="n"/>
      <c r="G294" s="22" t="n"/>
      <c r="H294" s="23">
        <f>IF(B294="","",ROUND(F294/B294,2))</f>
        <v/>
      </c>
      <c r="I294" s="24" t="n"/>
    </row>
    <row r="295">
      <c r="A295" s="21" t="n"/>
      <c r="B295" s="22" t="n"/>
      <c r="C295" s="22" t="n"/>
      <c r="D295" s="22" t="n"/>
      <c r="E295" s="22" t="n"/>
      <c r="F295" s="22" t="n"/>
      <c r="G295" s="22" t="n"/>
      <c r="H295" s="23">
        <f>IF(B295="","",ROUND(F295/B295,2))</f>
        <v/>
      </c>
      <c r="I295" s="24" t="n"/>
    </row>
    <row r="296">
      <c r="A296" s="21" t="n"/>
      <c r="B296" s="22" t="n"/>
      <c r="C296" s="22" t="n"/>
      <c r="D296" s="22" t="n"/>
      <c r="E296" s="22" t="n"/>
      <c r="F296" s="22" t="n"/>
      <c r="G296" s="22" t="n"/>
      <c r="H296" s="23">
        <f>IF(B296="","",ROUND(F296/B296,2))</f>
        <v/>
      </c>
      <c r="I296" s="24" t="n"/>
    </row>
    <row r="297">
      <c r="A297" s="21" t="n"/>
      <c r="B297" s="22" t="n"/>
      <c r="C297" s="22" t="n"/>
      <c r="D297" s="22" t="n"/>
      <c r="E297" s="22" t="n"/>
      <c r="F297" s="22" t="n"/>
      <c r="G297" s="22" t="n"/>
      <c r="H297" s="23">
        <f>IF(B297="","",ROUND(F297/B297,2))</f>
        <v/>
      </c>
      <c r="I297" s="24" t="n"/>
    </row>
    <row r="298">
      <c r="A298" s="21" t="n"/>
      <c r="B298" s="22" t="n"/>
      <c r="C298" s="22" t="n"/>
      <c r="D298" s="22" t="n"/>
      <c r="E298" s="22" t="n"/>
      <c r="F298" s="22" t="n"/>
      <c r="G298" s="22" t="n"/>
      <c r="H298" s="23">
        <f>IF(B298="","",ROUND(F298/B298,2))</f>
        <v/>
      </c>
      <c r="I298" s="24" t="n"/>
    </row>
    <row r="299">
      <c r="A299" s="21" t="n"/>
      <c r="B299" s="22" t="n"/>
      <c r="C299" s="22" t="n"/>
      <c r="D299" s="22" t="n"/>
      <c r="E299" s="22" t="n"/>
      <c r="F299" s="22" t="n"/>
      <c r="G299" s="22" t="n"/>
      <c r="H299" s="23">
        <f>IF(B299="","",ROUND(F299/B299,2))</f>
        <v/>
      </c>
      <c r="I299" s="24" t="n"/>
    </row>
    <row r="300">
      <c r="A300" s="21" t="n"/>
      <c r="B300" s="22" t="n"/>
      <c r="C300" s="22" t="n"/>
      <c r="D300" s="22" t="n"/>
      <c r="E300" s="22" t="n"/>
      <c r="F300" s="22" t="n"/>
      <c r="G300" s="22" t="n"/>
      <c r="H300" s="23">
        <f>IF(B300="","",ROUND(F300/B300,2))</f>
        <v/>
      </c>
      <c r="I300" s="24" t="n"/>
    </row>
    <row r="301">
      <c r="A301" s="21" t="n"/>
      <c r="B301" s="22" t="n"/>
      <c r="C301" s="22" t="n"/>
      <c r="D301" s="22" t="n"/>
      <c r="E301" s="22" t="n"/>
      <c r="F301" s="22" t="n"/>
      <c r="G301" s="22" t="n"/>
      <c r="H301" s="23">
        <f>IF(B301="","",ROUND(F301/B301,2))</f>
        <v/>
      </c>
      <c r="I301" s="24" t="n"/>
    </row>
    <row r="302">
      <c r="A302" s="21" t="n"/>
      <c r="B302" s="22" t="n"/>
      <c r="C302" s="22" t="n"/>
      <c r="D302" s="22" t="n"/>
      <c r="E302" s="22" t="n"/>
      <c r="F302" s="22" t="n"/>
      <c r="G302" s="22" t="n"/>
      <c r="H302" s="23">
        <f>IF(B302="","",ROUND(F302/B302,2))</f>
        <v/>
      </c>
      <c r="I302" s="24" t="n"/>
    </row>
    <row r="303">
      <c r="A303" s="21" t="n"/>
      <c r="B303" s="22" t="n"/>
      <c r="C303" s="22" t="n"/>
      <c r="D303" s="22" t="n"/>
      <c r="E303" s="22" t="n"/>
      <c r="F303" s="22" t="n"/>
      <c r="G303" s="22" t="n"/>
      <c r="H303" s="23">
        <f>IF(B303="","",ROUND(F303/B303,2))</f>
        <v/>
      </c>
      <c r="I303" s="24" t="n"/>
    </row>
    <row r="304">
      <c r="A304" s="21" t="n"/>
      <c r="B304" s="22" t="n"/>
      <c r="C304" s="22" t="n"/>
      <c r="D304" s="22" t="n"/>
      <c r="E304" s="22" t="n"/>
      <c r="F304" s="22" t="n"/>
      <c r="G304" s="22" t="n"/>
      <c r="H304" s="23">
        <f>IF(B304="","",ROUND(F304/B304,2))</f>
        <v/>
      </c>
      <c r="I304" s="24" t="n"/>
    </row>
  </sheetData>
  <mergeCells count="2">
    <mergeCell ref="A1:I1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B6B86"/>
    <outlinePr summaryBelow="1" summaryRight="1"/>
    <pageSetUpPr/>
  </sheetPr>
  <dimension ref="A1:E3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3" customWidth="1" min="3" max="3"/>
    <col width="22" customWidth="1" min="4" max="4"/>
    <col width="14" customWidth="1" min="5" max="5"/>
  </cols>
  <sheetData>
    <row r="1" ht="34" customHeight="1">
      <c r="A1" s="1" t="inlineStr">
        <is>
          <t>Setup  -  Vehicles</t>
        </is>
      </c>
      <c r="B1" s="2" t="n"/>
      <c r="C1" s="2" t="n"/>
      <c r="D1" s="2" t="n"/>
      <c r="E1" s="2" t="n"/>
    </row>
    <row r="2" ht="18" customHeight="1">
      <c r="A2" s="3" t="inlineStr">
        <is>
          <t>Transit mixer / pump fleet. Dispatch picks the vehicle; driver auto-fills.</t>
        </is>
      </c>
      <c r="B2" s="2" t="n"/>
      <c r="C2" s="2" t="n"/>
      <c r="D2" s="2" t="n"/>
      <c r="E2" s="2" t="n"/>
    </row>
    <row r="4" ht="30" customHeight="1">
      <c r="A4" s="17" t="inlineStr">
        <is>
          <t>Vehicle No.</t>
        </is>
      </c>
      <c r="B4" s="17" t="inlineStr">
        <is>
          <t>Type</t>
        </is>
      </c>
      <c r="C4" s="17" t="inlineStr">
        <is>
          <t>Capacity (m3)</t>
        </is>
      </c>
      <c r="D4" s="17" t="inlineStr">
        <is>
          <t>Default Driver</t>
        </is>
      </c>
      <c r="E4" s="17" t="inlineStr">
        <is>
          <t>Status</t>
        </is>
      </c>
    </row>
    <row r="5">
      <c r="A5" s="21" t="inlineStr">
        <is>
          <t>MH12 AB 1234</t>
        </is>
      </c>
      <c r="B5" s="21" t="inlineStr">
        <is>
          <t>Transit Mixer</t>
        </is>
      </c>
      <c r="C5" s="22" t="n">
        <v>6</v>
      </c>
      <c r="D5" s="21" t="inlineStr">
        <is>
          <t>Ramesh Pawar</t>
        </is>
      </c>
      <c r="E5" s="21" t="inlineStr">
        <is>
          <t>Active</t>
        </is>
      </c>
    </row>
    <row r="6">
      <c r="A6" s="21" t="inlineStr">
        <is>
          <t>MH12 CD 5678</t>
        </is>
      </c>
      <c r="B6" s="21" t="inlineStr">
        <is>
          <t>Transit Mixer</t>
        </is>
      </c>
      <c r="C6" s="22" t="n">
        <v>7</v>
      </c>
      <c r="D6" s="21" t="inlineStr">
        <is>
          <t>Suresh Jadhav</t>
        </is>
      </c>
      <c r="E6" s="21" t="inlineStr">
        <is>
          <t>Active</t>
        </is>
      </c>
    </row>
    <row r="7">
      <c r="A7" s="21" t="inlineStr">
        <is>
          <t>MH12 EF 9012</t>
        </is>
      </c>
      <c r="B7" s="21" t="inlineStr">
        <is>
          <t>Concrete Pump</t>
        </is>
      </c>
      <c r="C7" s="22" t="n">
        <v>0</v>
      </c>
      <c r="D7" s="21" t="inlineStr">
        <is>
          <t>Vijay More</t>
        </is>
      </c>
      <c r="E7" s="21" t="inlineStr">
        <is>
          <t>Active</t>
        </is>
      </c>
    </row>
    <row r="8">
      <c r="A8" s="21" t="n"/>
      <c r="B8" s="21" t="n"/>
      <c r="C8" s="22" t="n"/>
      <c r="D8" s="21" t="n"/>
      <c r="E8" s="21" t="n"/>
    </row>
    <row r="9">
      <c r="A9" s="21" t="n"/>
      <c r="B9" s="21" t="n"/>
      <c r="C9" s="22" t="n"/>
      <c r="D9" s="21" t="n"/>
      <c r="E9" s="21" t="n"/>
    </row>
    <row r="10">
      <c r="A10" s="21" t="n"/>
      <c r="B10" s="21" t="n"/>
      <c r="C10" s="22" t="n"/>
      <c r="D10" s="21" t="n"/>
      <c r="E10" s="21" t="n"/>
    </row>
    <row r="11">
      <c r="A11" s="21" t="n"/>
      <c r="B11" s="21" t="n"/>
      <c r="C11" s="22" t="n"/>
      <c r="D11" s="21" t="n"/>
      <c r="E11" s="21" t="n"/>
    </row>
    <row r="12">
      <c r="A12" s="21" t="n"/>
      <c r="B12" s="21" t="n"/>
      <c r="C12" s="22" t="n"/>
      <c r="D12" s="21" t="n"/>
      <c r="E12" s="21" t="n"/>
    </row>
    <row r="13">
      <c r="A13" s="21" t="n"/>
      <c r="B13" s="21" t="n"/>
      <c r="C13" s="22" t="n"/>
      <c r="D13" s="21" t="n"/>
      <c r="E13" s="21" t="n"/>
    </row>
    <row r="14">
      <c r="A14" s="21" t="n"/>
      <c r="B14" s="21" t="n"/>
      <c r="C14" s="22" t="n"/>
      <c r="D14" s="21" t="n"/>
      <c r="E14" s="21" t="n"/>
    </row>
    <row r="15">
      <c r="A15" s="21" t="n"/>
      <c r="B15" s="21" t="n"/>
      <c r="C15" s="22" t="n"/>
      <c r="D15" s="21" t="n"/>
      <c r="E15" s="21" t="n"/>
    </row>
    <row r="16">
      <c r="A16" s="21" t="n"/>
      <c r="B16" s="21" t="n"/>
      <c r="C16" s="22" t="n"/>
      <c r="D16" s="21" t="n"/>
      <c r="E16" s="21" t="n"/>
    </row>
    <row r="17">
      <c r="A17" s="21" t="n"/>
      <c r="B17" s="21" t="n"/>
      <c r="C17" s="22" t="n"/>
      <c r="D17" s="21" t="n"/>
      <c r="E17" s="21" t="n"/>
    </row>
    <row r="18">
      <c r="A18" s="21" t="n"/>
      <c r="B18" s="21" t="n"/>
      <c r="C18" s="22" t="n"/>
      <c r="D18" s="21" t="n"/>
      <c r="E18" s="21" t="n"/>
    </row>
    <row r="19">
      <c r="A19" s="21" t="n"/>
      <c r="B19" s="21" t="n"/>
      <c r="C19" s="22" t="n"/>
      <c r="D19" s="21" t="n"/>
      <c r="E19" s="21" t="n"/>
    </row>
    <row r="20">
      <c r="A20" s="21" t="n"/>
      <c r="B20" s="21" t="n"/>
      <c r="C20" s="22" t="n"/>
      <c r="D20" s="21" t="n"/>
      <c r="E20" s="21" t="n"/>
    </row>
    <row r="21">
      <c r="A21" s="21" t="n"/>
      <c r="B21" s="21" t="n"/>
      <c r="C21" s="22" t="n"/>
      <c r="D21" s="21" t="n"/>
      <c r="E21" s="21" t="n"/>
    </row>
    <row r="22">
      <c r="A22" s="21" t="n"/>
      <c r="B22" s="21" t="n"/>
      <c r="C22" s="22" t="n"/>
      <c r="D22" s="21" t="n"/>
      <c r="E22" s="21" t="n"/>
    </row>
    <row r="23">
      <c r="A23" s="21" t="n"/>
      <c r="B23" s="21" t="n"/>
      <c r="C23" s="22" t="n"/>
      <c r="D23" s="21" t="n"/>
      <c r="E23" s="21" t="n"/>
    </row>
    <row r="24">
      <c r="A24" s="21" t="n"/>
      <c r="B24" s="21" t="n"/>
      <c r="C24" s="22" t="n"/>
      <c r="D24" s="21" t="n"/>
      <c r="E24" s="21" t="n"/>
    </row>
    <row r="25">
      <c r="A25" s="21" t="n"/>
      <c r="B25" s="21" t="n"/>
      <c r="C25" s="22" t="n"/>
      <c r="D25" s="21" t="n"/>
      <c r="E25" s="21" t="n"/>
    </row>
    <row r="26">
      <c r="A26" s="21" t="n"/>
      <c r="B26" s="21" t="n"/>
      <c r="C26" s="22" t="n"/>
      <c r="D26" s="21" t="n"/>
      <c r="E26" s="21" t="n"/>
    </row>
    <row r="27">
      <c r="A27" s="21" t="n"/>
      <c r="B27" s="21" t="n"/>
      <c r="C27" s="22" t="n"/>
      <c r="D27" s="21" t="n"/>
      <c r="E27" s="21" t="n"/>
    </row>
    <row r="28">
      <c r="A28" s="21" t="n"/>
      <c r="B28" s="21" t="n"/>
      <c r="C28" s="22" t="n"/>
      <c r="D28" s="21" t="n"/>
      <c r="E28" s="21" t="n"/>
    </row>
    <row r="29">
      <c r="A29" s="21" t="n"/>
      <c r="B29" s="21" t="n"/>
      <c r="C29" s="22" t="n"/>
      <c r="D29" s="21" t="n"/>
      <c r="E29" s="21" t="n"/>
    </row>
    <row r="30">
      <c r="A30" s="21" t="n"/>
      <c r="B30" s="21" t="n"/>
      <c r="C30" s="22" t="n"/>
      <c r="D30" s="21" t="n"/>
      <c r="E30" s="21" t="n"/>
    </row>
    <row r="31">
      <c r="A31" s="21" t="n"/>
      <c r="B31" s="21" t="n"/>
      <c r="C31" s="22" t="n"/>
      <c r="D31" s="21" t="n"/>
      <c r="E31" s="21" t="n"/>
    </row>
    <row r="32">
      <c r="A32" s="21" t="n"/>
      <c r="B32" s="21" t="n"/>
      <c r="C32" s="22" t="n"/>
      <c r="D32" s="21" t="n"/>
      <c r="E32" s="21" t="n"/>
    </row>
    <row r="33">
      <c r="A33" s="21" t="n"/>
      <c r="B33" s="21" t="n"/>
      <c r="C33" s="22" t="n"/>
      <c r="D33" s="21" t="n"/>
      <c r="E33" s="21" t="n"/>
    </row>
    <row r="34">
      <c r="A34" s="21" t="n"/>
      <c r="B34" s="21" t="n"/>
      <c r="C34" s="22" t="n"/>
      <c r="D34" s="21" t="n"/>
      <c r="E34" s="21" t="n"/>
    </row>
    <row r="35">
      <c r="A35" s="21" t="n"/>
      <c r="B35" s="21" t="n"/>
      <c r="C35" s="22" t="n"/>
      <c r="D35" s="21" t="n"/>
      <c r="E35" s="21" t="n"/>
    </row>
    <row r="36">
      <c r="A36" s="21" t="n"/>
      <c r="B36" s="21" t="n"/>
      <c r="C36" s="22" t="n"/>
      <c r="D36" s="21" t="n"/>
      <c r="E36" s="21" t="n"/>
    </row>
    <row r="37">
      <c r="A37" s="21" t="n"/>
      <c r="B37" s="21" t="n"/>
      <c r="C37" s="22" t="n"/>
      <c r="D37" s="21" t="n"/>
      <c r="E37" s="21" t="n"/>
    </row>
    <row r="38">
      <c r="A38" s="21" t="n"/>
      <c r="B38" s="21" t="n"/>
      <c r="C38" s="22" t="n"/>
      <c r="D38" s="21" t="n"/>
      <c r="E38" s="21" t="n"/>
    </row>
    <row r="39">
      <c r="A39" s="21" t="n"/>
      <c r="B39" s="21" t="n"/>
      <c r="C39" s="22" t="n"/>
      <c r="D39" s="21" t="n"/>
      <c r="E39" s="21" t="n"/>
    </row>
    <row r="40">
      <c r="A40" s="21" t="n"/>
      <c r="B40" s="21" t="n"/>
      <c r="C40" s="22" t="n"/>
      <c r="D40" s="21" t="n"/>
      <c r="E40" s="21" t="n"/>
    </row>
    <row r="41">
      <c r="A41" s="21" t="n"/>
      <c r="B41" s="21" t="n"/>
      <c r="C41" s="22" t="n"/>
      <c r="D41" s="21" t="n"/>
      <c r="E41" s="21" t="n"/>
    </row>
    <row r="42">
      <c r="A42" s="21" t="n"/>
      <c r="B42" s="21" t="n"/>
      <c r="C42" s="22" t="n"/>
      <c r="D42" s="21" t="n"/>
      <c r="E42" s="21" t="n"/>
    </row>
    <row r="43">
      <c r="A43" s="21" t="n"/>
      <c r="B43" s="21" t="n"/>
      <c r="C43" s="22" t="n"/>
      <c r="D43" s="21" t="n"/>
      <c r="E43" s="21" t="n"/>
    </row>
    <row r="44">
      <c r="A44" s="21" t="n"/>
      <c r="B44" s="21" t="n"/>
      <c r="C44" s="22" t="n"/>
      <c r="D44" s="21" t="n"/>
      <c r="E44" s="21" t="n"/>
    </row>
    <row r="45">
      <c r="A45" s="21" t="n"/>
      <c r="B45" s="21" t="n"/>
      <c r="C45" s="22" t="n"/>
      <c r="D45" s="21" t="n"/>
      <c r="E45" s="21" t="n"/>
    </row>
    <row r="46">
      <c r="A46" s="21" t="n"/>
      <c r="B46" s="21" t="n"/>
      <c r="C46" s="22" t="n"/>
      <c r="D46" s="21" t="n"/>
      <c r="E46" s="21" t="n"/>
    </row>
    <row r="47">
      <c r="A47" s="21" t="n"/>
      <c r="B47" s="21" t="n"/>
      <c r="C47" s="22" t="n"/>
      <c r="D47" s="21" t="n"/>
      <c r="E47" s="21" t="n"/>
    </row>
    <row r="48">
      <c r="A48" s="21" t="n"/>
      <c r="B48" s="21" t="n"/>
      <c r="C48" s="22" t="n"/>
      <c r="D48" s="21" t="n"/>
      <c r="E48" s="21" t="n"/>
    </row>
    <row r="49">
      <c r="A49" s="21" t="n"/>
      <c r="B49" s="21" t="n"/>
      <c r="C49" s="22" t="n"/>
      <c r="D49" s="21" t="n"/>
      <c r="E49" s="21" t="n"/>
    </row>
    <row r="50">
      <c r="A50" s="21" t="n"/>
      <c r="B50" s="21" t="n"/>
      <c r="C50" s="22" t="n"/>
      <c r="D50" s="21" t="n"/>
      <c r="E50" s="21" t="n"/>
    </row>
    <row r="51">
      <c r="A51" s="21" t="n"/>
      <c r="B51" s="21" t="n"/>
      <c r="C51" s="22" t="n"/>
      <c r="D51" s="21" t="n"/>
      <c r="E51" s="21" t="n"/>
    </row>
    <row r="52">
      <c r="A52" s="21" t="n"/>
      <c r="B52" s="21" t="n"/>
      <c r="C52" s="22" t="n"/>
      <c r="D52" s="21" t="n"/>
      <c r="E52" s="21" t="n"/>
    </row>
    <row r="53">
      <c r="A53" s="21" t="n"/>
      <c r="B53" s="21" t="n"/>
      <c r="C53" s="22" t="n"/>
      <c r="D53" s="21" t="n"/>
      <c r="E53" s="21" t="n"/>
    </row>
    <row r="54">
      <c r="A54" s="21" t="n"/>
      <c r="B54" s="21" t="n"/>
      <c r="C54" s="22" t="n"/>
      <c r="D54" s="21" t="n"/>
      <c r="E54" s="21" t="n"/>
    </row>
    <row r="55">
      <c r="A55" s="21" t="n"/>
      <c r="B55" s="21" t="n"/>
      <c r="C55" s="22" t="n"/>
      <c r="D55" s="21" t="n"/>
      <c r="E55" s="21" t="n"/>
    </row>
    <row r="56">
      <c r="A56" s="21" t="n"/>
      <c r="B56" s="21" t="n"/>
      <c r="C56" s="22" t="n"/>
      <c r="D56" s="21" t="n"/>
      <c r="E56" s="21" t="n"/>
    </row>
    <row r="57">
      <c r="A57" s="21" t="n"/>
      <c r="B57" s="21" t="n"/>
      <c r="C57" s="22" t="n"/>
      <c r="D57" s="21" t="n"/>
      <c r="E57" s="21" t="n"/>
    </row>
    <row r="58">
      <c r="A58" s="21" t="n"/>
      <c r="B58" s="21" t="n"/>
      <c r="C58" s="22" t="n"/>
      <c r="D58" s="21" t="n"/>
      <c r="E58" s="21" t="n"/>
    </row>
    <row r="59">
      <c r="A59" s="21" t="n"/>
      <c r="B59" s="21" t="n"/>
      <c r="C59" s="22" t="n"/>
      <c r="D59" s="21" t="n"/>
      <c r="E59" s="21" t="n"/>
    </row>
    <row r="60">
      <c r="A60" s="21" t="n"/>
      <c r="B60" s="21" t="n"/>
      <c r="C60" s="22" t="n"/>
      <c r="D60" s="21" t="n"/>
      <c r="E60" s="21" t="n"/>
    </row>
    <row r="61">
      <c r="A61" s="21" t="n"/>
      <c r="B61" s="21" t="n"/>
      <c r="C61" s="22" t="n"/>
      <c r="D61" s="21" t="n"/>
      <c r="E61" s="21" t="n"/>
    </row>
    <row r="62">
      <c r="A62" s="21" t="n"/>
      <c r="B62" s="21" t="n"/>
      <c r="C62" s="22" t="n"/>
      <c r="D62" s="21" t="n"/>
      <c r="E62" s="21" t="n"/>
    </row>
    <row r="63">
      <c r="A63" s="21" t="n"/>
      <c r="B63" s="21" t="n"/>
      <c r="C63" s="22" t="n"/>
      <c r="D63" s="21" t="n"/>
      <c r="E63" s="21" t="n"/>
    </row>
    <row r="64">
      <c r="A64" s="21" t="n"/>
      <c r="B64" s="21" t="n"/>
      <c r="C64" s="22" t="n"/>
      <c r="D64" s="21" t="n"/>
      <c r="E64" s="21" t="n"/>
    </row>
    <row r="65">
      <c r="A65" s="21" t="n"/>
      <c r="B65" s="21" t="n"/>
      <c r="C65" s="22" t="n"/>
      <c r="D65" s="21" t="n"/>
      <c r="E65" s="21" t="n"/>
    </row>
    <row r="66">
      <c r="A66" s="21" t="n"/>
      <c r="B66" s="21" t="n"/>
      <c r="C66" s="22" t="n"/>
      <c r="D66" s="21" t="n"/>
      <c r="E66" s="21" t="n"/>
    </row>
    <row r="67">
      <c r="A67" s="21" t="n"/>
      <c r="B67" s="21" t="n"/>
      <c r="C67" s="22" t="n"/>
      <c r="D67" s="21" t="n"/>
      <c r="E67" s="21" t="n"/>
    </row>
    <row r="68">
      <c r="A68" s="21" t="n"/>
      <c r="B68" s="21" t="n"/>
      <c r="C68" s="22" t="n"/>
      <c r="D68" s="21" t="n"/>
      <c r="E68" s="21" t="n"/>
    </row>
    <row r="69">
      <c r="A69" s="21" t="n"/>
      <c r="B69" s="21" t="n"/>
      <c r="C69" s="22" t="n"/>
      <c r="D69" s="21" t="n"/>
      <c r="E69" s="21" t="n"/>
    </row>
    <row r="70">
      <c r="A70" s="21" t="n"/>
      <c r="B70" s="21" t="n"/>
      <c r="C70" s="22" t="n"/>
      <c r="D70" s="21" t="n"/>
      <c r="E70" s="21" t="n"/>
    </row>
    <row r="71">
      <c r="A71" s="21" t="n"/>
      <c r="B71" s="21" t="n"/>
      <c r="C71" s="22" t="n"/>
      <c r="D71" s="21" t="n"/>
      <c r="E71" s="21" t="n"/>
    </row>
    <row r="72">
      <c r="A72" s="21" t="n"/>
      <c r="B72" s="21" t="n"/>
      <c r="C72" s="22" t="n"/>
      <c r="D72" s="21" t="n"/>
      <c r="E72" s="21" t="n"/>
    </row>
    <row r="73">
      <c r="A73" s="21" t="n"/>
      <c r="B73" s="21" t="n"/>
      <c r="C73" s="22" t="n"/>
      <c r="D73" s="21" t="n"/>
      <c r="E73" s="21" t="n"/>
    </row>
    <row r="74">
      <c r="A74" s="21" t="n"/>
      <c r="B74" s="21" t="n"/>
      <c r="C74" s="22" t="n"/>
      <c r="D74" s="21" t="n"/>
      <c r="E74" s="21" t="n"/>
    </row>
    <row r="75">
      <c r="A75" s="21" t="n"/>
      <c r="B75" s="21" t="n"/>
      <c r="C75" s="22" t="n"/>
      <c r="D75" s="21" t="n"/>
      <c r="E75" s="21" t="n"/>
    </row>
    <row r="76">
      <c r="A76" s="21" t="n"/>
      <c r="B76" s="21" t="n"/>
      <c r="C76" s="22" t="n"/>
      <c r="D76" s="21" t="n"/>
      <c r="E76" s="21" t="n"/>
    </row>
    <row r="77">
      <c r="A77" s="21" t="n"/>
      <c r="B77" s="21" t="n"/>
      <c r="C77" s="22" t="n"/>
      <c r="D77" s="21" t="n"/>
      <c r="E77" s="21" t="n"/>
    </row>
    <row r="78">
      <c r="A78" s="21" t="n"/>
      <c r="B78" s="21" t="n"/>
      <c r="C78" s="22" t="n"/>
      <c r="D78" s="21" t="n"/>
      <c r="E78" s="21" t="n"/>
    </row>
    <row r="79">
      <c r="A79" s="21" t="n"/>
      <c r="B79" s="21" t="n"/>
      <c r="C79" s="22" t="n"/>
      <c r="D79" s="21" t="n"/>
      <c r="E79" s="21" t="n"/>
    </row>
    <row r="80">
      <c r="A80" s="21" t="n"/>
      <c r="B80" s="21" t="n"/>
      <c r="C80" s="22" t="n"/>
      <c r="D80" s="21" t="n"/>
      <c r="E80" s="21" t="n"/>
    </row>
    <row r="81">
      <c r="A81" s="21" t="n"/>
      <c r="B81" s="21" t="n"/>
      <c r="C81" s="22" t="n"/>
      <c r="D81" s="21" t="n"/>
      <c r="E81" s="21" t="n"/>
    </row>
    <row r="82">
      <c r="A82" s="21" t="n"/>
      <c r="B82" s="21" t="n"/>
      <c r="C82" s="22" t="n"/>
      <c r="D82" s="21" t="n"/>
      <c r="E82" s="21" t="n"/>
    </row>
    <row r="83">
      <c r="A83" s="21" t="n"/>
      <c r="B83" s="21" t="n"/>
      <c r="C83" s="22" t="n"/>
      <c r="D83" s="21" t="n"/>
      <c r="E83" s="21" t="n"/>
    </row>
    <row r="84">
      <c r="A84" s="21" t="n"/>
      <c r="B84" s="21" t="n"/>
      <c r="C84" s="22" t="n"/>
      <c r="D84" s="21" t="n"/>
      <c r="E84" s="21" t="n"/>
    </row>
    <row r="85">
      <c r="A85" s="21" t="n"/>
      <c r="B85" s="21" t="n"/>
      <c r="C85" s="22" t="n"/>
      <c r="D85" s="21" t="n"/>
      <c r="E85" s="21" t="n"/>
    </row>
    <row r="86">
      <c r="A86" s="21" t="n"/>
      <c r="B86" s="21" t="n"/>
      <c r="C86" s="22" t="n"/>
      <c r="D86" s="21" t="n"/>
      <c r="E86" s="21" t="n"/>
    </row>
    <row r="87">
      <c r="A87" s="21" t="n"/>
      <c r="B87" s="21" t="n"/>
      <c r="C87" s="22" t="n"/>
      <c r="D87" s="21" t="n"/>
      <c r="E87" s="21" t="n"/>
    </row>
    <row r="88">
      <c r="A88" s="21" t="n"/>
      <c r="B88" s="21" t="n"/>
      <c r="C88" s="22" t="n"/>
      <c r="D88" s="21" t="n"/>
      <c r="E88" s="21" t="n"/>
    </row>
    <row r="89">
      <c r="A89" s="21" t="n"/>
      <c r="B89" s="21" t="n"/>
      <c r="C89" s="22" t="n"/>
      <c r="D89" s="21" t="n"/>
      <c r="E89" s="21" t="n"/>
    </row>
    <row r="90">
      <c r="A90" s="21" t="n"/>
      <c r="B90" s="21" t="n"/>
      <c r="C90" s="22" t="n"/>
      <c r="D90" s="21" t="n"/>
      <c r="E90" s="21" t="n"/>
    </row>
    <row r="91">
      <c r="A91" s="21" t="n"/>
      <c r="B91" s="21" t="n"/>
      <c r="C91" s="22" t="n"/>
      <c r="D91" s="21" t="n"/>
      <c r="E91" s="21" t="n"/>
    </row>
    <row r="92">
      <c r="A92" s="21" t="n"/>
      <c r="B92" s="21" t="n"/>
      <c r="C92" s="22" t="n"/>
      <c r="D92" s="21" t="n"/>
      <c r="E92" s="21" t="n"/>
    </row>
    <row r="93">
      <c r="A93" s="21" t="n"/>
      <c r="B93" s="21" t="n"/>
      <c r="C93" s="22" t="n"/>
      <c r="D93" s="21" t="n"/>
      <c r="E93" s="21" t="n"/>
    </row>
    <row r="94">
      <c r="A94" s="21" t="n"/>
      <c r="B94" s="21" t="n"/>
      <c r="C94" s="22" t="n"/>
      <c r="D94" s="21" t="n"/>
      <c r="E94" s="21" t="n"/>
    </row>
    <row r="95">
      <c r="A95" s="21" t="n"/>
      <c r="B95" s="21" t="n"/>
      <c r="C95" s="22" t="n"/>
      <c r="D95" s="21" t="n"/>
      <c r="E95" s="21" t="n"/>
    </row>
    <row r="96">
      <c r="A96" s="21" t="n"/>
      <c r="B96" s="21" t="n"/>
      <c r="C96" s="22" t="n"/>
      <c r="D96" s="21" t="n"/>
      <c r="E96" s="21" t="n"/>
    </row>
    <row r="97">
      <c r="A97" s="21" t="n"/>
      <c r="B97" s="21" t="n"/>
      <c r="C97" s="22" t="n"/>
      <c r="D97" s="21" t="n"/>
      <c r="E97" s="21" t="n"/>
    </row>
    <row r="98">
      <c r="A98" s="21" t="n"/>
      <c r="B98" s="21" t="n"/>
      <c r="C98" s="22" t="n"/>
      <c r="D98" s="21" t="n"/>
      <c r="E98" s="21" t="n"/>
    </row>
    <row r="99">
      <c r="A99" s="21" t="n"/>
      <c r="B99" s="21" t="n"/>
      <c r="C99" s="22" t="n"/>
      <c r="D99" s="21" t="n"/>
      <c r="E99" s="21" t="n"/>
    </row>
    <row r="100">
      <c r="A100" s="21" t="n"/>
      <c r="B100" s="21" t="n"/>
      <c r="C100" s="22" t="n"/>
      <c r="D100" s="21" t="n"/>
      <c r="E100" s="21" t="n"/>
    </row>
    <row r="101">
      <c r="A101" s="21" t="n"/>
      <c r="B101" s="21" t="n"/>
      <c r="C101" s="22" t="n"/>
      <c r="D101" s="21" t="n"/>
      <c r="E101" s="21" t="n"/>
    </row>
    <row r="102">
      <c r="A102" s="21" t="n"/>
      <c r="B102" s="21" t="n"/>
      <c r="C102" s="22" t="n"/>
      <c r="D102" s="21" t="n"/>
      <c r="E102" s="21" t="n"/>
    </row>
    <row r="103">
      <c r="A103" s="21" t="n"/>
      <c r="B103" s="21" t="n"/>
      <c r="C103" s="22" t="n"/>
      <c r="D103" s="21" t="n"/>
      <c r="E103" s="21" t="n"/>
    </row>
    <row r="104">
      <c r="A104" s="21" t="n"/>
      <c r="B104" s="21" t="n"/>
      <c r="C104" s="22" t="n"/>
      <c r="D104" s="21" t="n"/>
      <c r="E104" s="21" t="n"/>
    </row>
    <row r="105">
      <c r="A105" s="21" t="n"/>
      <c r="B105" s="21" t="n"/>
      <c r="C105" s="22" t="n"/>
      <c r="D105" s="21" t="n"/>
      <c r="E105" s="21" t="n"/>
    </row>
    <row r="106">
      <c r="A106" s="21" t="n"/>
      <c r="B106" s="21" t="n"/>
      <c r="C106" s="22" t="n"/>
      <c r="D106" s="21" t="n"/>
      <c r="E106" s="21" t="n"/>
    </row>
    <row r="107">
      <c r="A107" s="21" t="n"/>
      <c r="B107" s="21" t="n"/>
      <c r="C107" s="22" t="n"/>
      <c r="D107" s="21" t="n"/>
      <c r="E107" s="21" t="n"/>
    </row>
    <row r="108">
      <c r="A108" s="21" t="n"/>
      <c r="B108" s="21" t="n"/>
      <c r="C108" s="22" t="n"/>
      <c r="D108" s="21" t="n"/>
      <c r="E108" s="21" t="n"/>
    </row>
    <row r="109">
      <c r="A109" s="21" t="n"/>
      <c r="B109" s="21" t="n"/>
      <c r="C109" s="22" t="n"/>
      <c r="D109" s="21" t="n"/>
      <c r="E109" s="21" t="n"/>
    </row>
    <row r="110">
      <c r="A110" s="21" t="n"/>
      <c r="B110" s="21" t="n"/>
      <c r="C110" s="22" t="n"/>
      <c r="D110" s="21" t="n"/>
      <c r="E110" s="21" t="n"/>
    </row>
    <row r="111">
      <c r="A111" s="21" t="n"/>
      <c r="B111" s="21" t="n"/>
      <c r="C111" s="22" t="n"/>
      <c r="D111" s="21" t="n"/>
      <c r="E111" s="21" t="n"/>
    </row>
    <row r="112">
      <c r="A112" s="21" t="n"/>
      <c r="B112" s="21" t="n"/>
      <c r="C112" s="22" t="n"/>
      <c r="D112" s="21" t="n"/>
      <c r="E112" s="21" t="n"/>
    </row>
    <row r="113">
      <c r="A113" s="21" t="n"/>
      <c r="B113" s="21" t="n"/>
      <c r="C113" s="22" t="n"/>
      <c r="D113" s="21" t="n"/>
      <c r="E113" s="21" t="n"/>
    </row>
    <row r="114">
      <c r="A114" s="21" t="n"/>
      <c r="B114" s="21" t="n"/>
      <c r="C114" s="22" t="n"/>
      <c r="D114" s="21" t="n"/>
      <c r="E114" s="21" t="n"/>
    </row>
    <row r="115">
      <c r="A115" s="21" t="n"/>
      <c r="B115" s="21" t="n"/>
      <c r="C115" s="22" t="n"/>
      <c r="D115" s="21" t="n"/>
      <c r="E115" s="21" t="n"/>
    </row>
    <row r="116">
      <c r="A116" s="21" t="n"/>
      <c r="B116" s="21" t="n"/>
      <c r="C116" s="22" t="n"/>
      <c r="D116" s="21" t="n"/>
      <c r="E116" s="21" t="n"/>
    </row>
    <row r="117">
      <c r="A117" s="21" t="n"/>
      <c r="B117" s="21" t="n"/>
      <c r="C117" s="22" t="n"/>
      <c r="D117" s="21" t="n"/>
      <c r="E117" s="21" t="n"/>
    </row>
    <row r="118">
      <c r="A118" s="21" t="n"/>
      <c r="B118" s="21" t="n"/>
      <c r="C118" s="22" t="n"/>
      <c r="D118" s="21" t="n"/>
      <c r="E118" s="21" t="n"/>
    </row>
    <row r="119">
      <c r="A119" s="21" t="n"/>
      <c r="B119" s="21" t="n"/>
      <c r="C119" s="22" t="n"/>
      <c r="D119" s="21" t="n"/>
      <c r="E119" s="21" t="n"/>
    </row>
    <row r="120">
      <c r="A120" s="21" t="n"/>
      <c r="B120" s="21" t="n"/>
      <c r="C120" s="22" t="n"/>
      <c r="D120" s="21" t="n"/>
      <c r="E120" s="21" t="n"/>
    </row>
    <row r="121">
      <c r="A121" s="21" t="n"/>
      <c r="B121" s="21" t="n"/>
      <c r="C121" s="22" t="n"/>
      <c r="D121" s="21" t="n"/>
      <c r="E121" s="21" t="n"/>
    </row>
    <row r="122">
      <c r="A122" s="21" t="n"/>
      <c r="B122" s="21" t="n"/>
      <c r="C122" s="22" t="n"/>
      <c r="D122" s="21" t="n"/>
      <c r="E122" s="21" t="n"/>
    </row>
    <row r="123">
      <c r="A123" s="21" t="n"/>
      <c r="B123" s="21" t="n"/>
      <c r="C123" s="22" t="n"/>
      <c r="D123" s="21" t="n"/>
      <c r="E123" s="21" t="n"/>
    </row>
    <row r="124">
      <c r="A124" s="21" t="n"/>
      <c r="B124" s="21" t="n"/>
      <c r="C124" s="22" t="n"/>
      <c r="D124" s="21" t="n"/>
      <c r="E124" s="21" t="n"/>
    </row>
    <row r="125">
      <c r="A125" s="21" t="n"/>
      <c r="B125" s="21" t="n"/>
      <c r="C125" s="22" t="n"/>
      <c r="D125" s="21" t="n"/>
      <c r="E125" s="21" t="n"/>
    </row>
    <row r="126">
      <c r="A126" s="21" t="n"/>
      <c r="B126" s="21" t="n"/>
      <c r="C126" s="22" t="n"/>
      <c r="D126" s="21" t="n"/>
      <c r="E126" s="21" t="n"/>
    </row>
    <row r="127">
      <c r="A127" s="21" t="n"/>
      <c r="B127" s="21" t="n"/>
      <c r="C127" s="22" t="n"/>
      <c r="D127" s="21" t="n"/>
      <c r="E127" s="21" t="n"/>
    </row>
    <row r="128">
      <c r="A128" s="21" t="n"/>
      <c r="B128" s="21" t="n"/>
      <c r="C128" s="22" t="n"/>
      <c r="D128" s="21" t="n"/>
      <c r="E128" s="21" t="n"/>
    </row>
    <row r="129">
      <c r="A129" s="21" t="n"/>
      <c r="B129" s="21" t="n"/>
      <c r="C129" s="22" t="n"/>
      <c r="D129" s="21" t="n"/>
      <c r="E129" s="21" t="n"/>
    </row>
    <row r="130">
      <c r="A130" s="21" t="n"/>
      <c r="B130" s="21" t="n"/>
      <c r="C130" s="22" t="n"/>
      <c r="D130" s="21" t="n"/>
      <c r="E130" s="21" t="n"/>
    </row>
    <row r="131">
      <c r="A131" s="21" t="n"/>
      <c r="B131" s="21" t="n"/>
      <c r="C131" s="22" t="n"/>
      <c r="D131" s="21" t="n"/>
      <c r="E131" s="21" t="n"/>
    </row>
    <row r="132">
      <c r="A132" s="21" t="n"/>
      <c r="B132" s="21" t="n"/>
      <c r="C132" s="22" t="n"/>
      <c r="D132" s="21" t="n"/>
      <c r="E132" s="21" t="n"/>
    </row>
    <row r="133">
      <c r="A133" s="21" t="n"/>
      <c r="B133" s="21" t="n"/>
      <c r="C133" s="22" t="n"/>
      <c r="D133" s="21" t="n"/>
      <c r="E133" s="21" t="n"/>
    </row>
    <row r="134">
      <c r="A134" s="21" t="n"/>
      <c r="B134" s="21" t="n"/>
      <c r="C134" s="22" t="n"/>
      <c r="D134" s="21" t="n"/>
      <c r="E134" s="21" t="n"/>
    </row>
    <row r="135">
      <c r="A135" s="21" t="n"/>
      <c r="B135" s="21" t="n"/>
      <c r="C135" s="22" t="n"/>
      <c r="D135" s="21" t="n"/>
      <c r="E135" s="21" t="n"/>
    </row>
    <row r="136">
      <c r="A136" s="21" t="n"/>
      <c r="B136" s="21" t="n"/>
      <c r="C136" s="22" t="n"/>
      <c r="D136" s="21" t="n"/>
      <c r="E136" s="21" t="n"/>
    </row>
    <row r="137">
      <c r="A137" s="21" t="n"/>
      <c r="B137" s="21" t="n"/>
      <c r="C137" s="22" t="n"/>
      <c r="D137" s="21" t="n"/>
      <c r="E137" s="21" t="n"/>
    </row>
    <row r="138">
      <c r="A138" s="21" t="n"/>
      <c r="B138" s="21" t="n"/>
      <c r="C138" s="22" t="n"/>
      <c r="D138" s="21" t="n"/>
      <c r="E138" s="21" t="n"/>
    </row>
    <row r="139">
      <c r="A139" s="21" t="n"/>
      <c r="B139" s="21" t="n"/>
      <c r="C139" s="22" t="n"/>
      <c r="D139" s="21" t="n"/>
      <c r="E139" s="21" t="n"/>
    </row>
    <row r="140">
      <c r="A140" s="21" t="n"/>
      <c r="B140" s="21" t="n"/>
      <c r="C140" s="22" t="n"/>
      <c r="D140" s="21" t="n"/>
      <c r="E140" s="21" t="n"/>
    </row>
    <row r="141">
      <c r="A141" s="21" t="n"/>
      <c r="B141" s="21" t="n"/>
      <c r="C141" s="22" t="n"/>
      <c r="D141" s="21" t="n"/>
      <c r="E141" s="21" t="n"/>
    </row>
    <row r="142">
      <c r="A142" s="21" t="n"/>
      <c r="B142" s="21" t="n"/>
      <c r="C142" s="22" t="n"/>
      <c r="D142" s="21" t="n"/>
      <c r="E142" s="21" t="n"/>
    </row>
    <row r="143">
      <c r="A143" s="21" t="n"/>
      <c r="B143" s="21" t="n"/>
      <c r="C143" s="22" t="n"/>
      <c r="D143" s="21" t="n"/>
      <c r="E143" s="21" t="n"/>
    </row>
    <row r="144">
      <c r="A144" s="21" t="n"/>
      <c r="B144" s="21" t="n"/>
      <c r="C144" s="22" t="n"/>
      <c r="D144" s="21" t="n"/>
      <c r="E144" s="21" t="n"/>
    </row>
    <row r="145">
      <c r="A145" s="21" t="n"/>
      <c r="B145" s="21" t="n"/>
      <c r="C145" s="22" t="n"/>
      <c r="D145" s="21" t="n"/>
      <c r="E145" s="21" t="n"/>
    </row>
    <row r="146">
      <c r="A146" s="21" t="n"/>
      <c r="B146" s="21" t="n"/>
      <c r="C146" s="22" t="n"/>
      <c r="D146" s="21" t="n"/>
      <c r="E146" s="21" t="n"/>
    </row>
    <row r="147">
      <c r="A147" s="21" t="n"/>
      <c r="B147" s="21" t="n"/>
      <c r="C147" s="22" t="n"/>
      <c r="D147" s="21" t="n"/>
      <c r="E147" s="21" t="n"/>
    </row>
    <row r="148">
      <c r="A148" s="21" t="n"/>
      <c r="B148" s="21" t="n"/>
      <c r="C148" s="22" t="n"/>
      <c r="D148" s="21" t="n"/>
      <c r="E148" s="21" t="n"/>
    </row>
    <row r="149">
      <c r="A149" s="21" t="n"/>
      <c r="B149" s="21" t="n"/>
      <c r="C149" s="22" t="n"/>
      <c r="D149" s="21" t="n"/>
      <c r="E149" s="21" t="n"/>
    </row>
    <row r="150">
      <c r="A150" s="21" t="n"/>
      <c r="B150" s="21" t="n"/>
      <c r="C150" s="22" t="n"/>
      <c r="D150" s="21" t="n"/>
      <c r="E150" s="21" t="n"/>
    </row>
    <row r="151">
      <c r="A151" s="21" t="n"/>
      <c r="B151" s="21" t="n"/>
      <c r="C151" s="22" t="n"/>
      <c r="D151" s="21" t="n"/>
      <c r="E151" s="21" t="n"/>
    </row>
    <row r="152">
      <c r="A152" s="21" t="n"/>
      <c r="B152" s="21" t="n"/>
      <c r="C152" s="22" t="n"/>
      <c r="D152" s="21" t="n"/>
      <c r="E152" s="21" t="n"/>
    </row>
    <row r="153">
      <c r="A153" s="21" t="n"/>
      <c r="B153" s="21" t="n"/>
      <c r="C153" s="22" t="n"/>
      <c r="D153" s="21" t="n"/>
      <c r="E153" s="21" t="n"/>
    </row>
    <row r="154">
      <c r="A154" s="21" t="n"/>
      <c r="B154" s="21" t="n"/>
      <c r="C154" s="22" t="n"/>
      <c r="D154" s="21" t="n"/>
      <c r="E154" s="21" t="n"/>
    </row>
    <row r="155">
      <c r="A155" s="21" t="n"/>
      <c r="B155" s="21" t="n"/>
      <c r="C155" s="22" t="n"/>
      <c r="D155" s="21" t="n"/>
      <c r="E155" s="21" t="n"/>
    </row>
    <row r="156">
      <c r="A156" s="21" t="n"/>
      <c r="B156" s="21" t="n"/>
      <c r="C156" s="22" t="n"/>
      <c r="D156" s="21" t="n"/>
      <c r="E156" s="21" t="n"/>
    </row>
    <row r="157">
      <c r="A157" s="21" t="n"/>
      <c r="B157" s="21" t="n"/>
      <c r="C157" s="22" t="n"/>
      <c r="D157" s="21" t="n"/>
      <c r="E157" s="21" t="n"/>
    </row>
    <row r="158">
      <c r="A158" s="21" t="n"/>
      <c r="B158" s="21" t="n"/>
      <c r="C158" s="22" t="n"/>
      <c r="D158" s="21" t="n"/>
      <c r="E158" s="21" t="n"/>
    </row>
    <row r="159">
      <c r="A159" s="21" t="n"/>
      <c r="B159" s="21" t="n"/>
      <c r="C159" s="22" t="n"/>
      <c r="D159" s="21" t="n"/>
      <c r="E159" s="21" t="n"/>
    </row>
    <row r="160">
      <c r="A160" s="21" t="n"/>
      <c r="B160" s="21" t="n"/>
      <c r="C160" s="22" t="n"/>
      <c r="D160" s="21" t="n"/>
      <c r="E160" s="21" t="n"/>
    </row>
    <row r="161">
      <c r="A161" s="21" t="n"/>
      <c r="B161" s="21" t="n"/>
      <c r="C161" s="22" t="n"/>
      <c r="D161" s="21" t="n"/>
      <c r="E161" s="21" t="n"/>
    </row>
    <row r="162">
      <c r="A162" s="21" t="n"/>
      <c r="B162" s="21" t="n"/>
      <c r="C162" s="22" t="n"/>
      <c r="D162" s="21" t="n"/>
      <c r="E162" s="21" t="n"/>
    </row>
    <row r="163">
      <c r="A163" s="21" t="n"/>
      <c r="B163" s="21" t="n"/>
      <c r="C163" s="22" t="n"/>
      <c r="D163" s="21" t="n"/>
      <c r="E163" s="21" t="n"/>
    </row>
    <row r="164">
      <c r="A164" s="21" t="n"/>
      <c r="B164" s="21" t="n"/>
      <c r="C164" s="22" t="n"/>
      <c r="D164" s="21" t="n"/>
      <c r="E164" s="21" t="n"/>
    </row>
    <row r="165">
      <c r="A165" s="21" t="n"/>
      <c r="B165" s="21" t="n"/>
      <c r="C165" s="22" t="n"/>
      <c r="D165" s="21" t="n"/>
      <c r="E165" s="21" t="n"/>
    </row>
    <row r="166">
      <c r="A166" s="21" t="n"/>
      <c r="B166" s="21" t="n"/>
      <c r="C166" s="22" t="n"/>
      <c r="D166" s="21" t="n"/>
      <c r="E166" s="21" t="n"/>
    </row>
    <row r="167">
      <c r="A167" s="21" t="n"/>
      <c r="B167" s="21" t="n"/>
      <c r="C167" s="22" t="n"/>
      <c r="D167" s="21" t="n"/>
      <c r="E167" s="21" t="n"/>
    </row>
    <row r="168">
      <c r="A168" s="21" t="n"/>
      <c r="B168" s="21" t="n"/>
      <c r="C168" s="22" t="n"/>
      <c r="D168" s="21" t="n"/>
      <c r="E168" s="21" t="n"/>
    </row>
    <row r="169">
      <c r="A169" s="21" t="n"/>
      <c r="B169" s="21" t="n"/>
      <c r="C169" s="22" t="n"/>
      <c r="D169" s="21" t="n"/>
      <c r="E169" s="21" t="n"/>
    </row>
    <row r="170">
      <c r="A170" s="21" t="n"/>
      <c r="B170" s="21" t="n"/>
      <c r="C170" s="22" t="n"/>
      <c r="D170" s="21" t="n"/>
      <c r="E170" s="21" t="n"/>
    </row>
    <row r="171">
      <c r="A171" s="21" t="n"/>
      <c r="B171" s="21" t="n"/>
      <c r="C171" s="22" t="n"/>
      <c r="D171" s="21" t="n"/>
      <c r="E171" s="21" t="n"/>
    </row>
    <row r="172">
      <c r="A172" s="21" t="n"/>
      <c r="B172" s="21" t="n"/>
      <c r="C172" s="22" t="n"/>
      <c r="D172" s="21" t="n"/>
      <c r="E172" s="21" t="n"/>
    </row>
    <row r="173">
      <c r="A173" s="21" t="n"/>
      <c r="B173" s="21" t="n"/>
      <c r="C173" s="22" t="n"/>
      <c r="D173" s="21" t="n"/>
      <c r="E173" s="21" t="n"/>
    </row>
    <row r="174">
      <c r="A174" s="21" t="n"/>
      <c r="B174" s="21" t="n"/>
      <c r="C174" s="22" t="n"/>
      <c r="D174" s="21" t="n"/>
      <c r="E174" s="21" t="n"/>
    </row>
    <row r="175">
      <c r="A175" s="21" t="n"/>
      <c r="B175" s="21" t="n"/>
      <c r="C175" s="22" t="n"/>
      <c r="D175" s="21" t="n"/>
      <c r="E175" s="21" t="n"/>
    </row>
    <row r="176">
      <c r="A176" s="21" t="n"/>
      <c r="B176" s="21" t="n"/>
      <c r="C176" s="22" t="n"/>
      <c r="D176" s="21" t="n"/>
      <c r="E176" s="21" t="n"/>
    </row>
    <row r="177">
      <c r="A177" s="21" t="n"/>
      <c r="B177" s="21" t="n"/>
      <c r="C177" s="22" t="n"/>
      <c r="D177" s="21" t="n"/>
      <c r="E177" s="21" t="n"/>
    </row>
    <row r="178">
      <c r="A178" s="21" t="n"/>
      <c r="B178" s="21" t="n"/>
      <c r="C178" s="22" t="n"/>
      <c r="D178" s="21" t="n"/>
      <c r="E178" s="21" t="n"/>
    </row>
    <row r="179">
      <c r="A179" s="21" t="n"/>
      <c r="B179" s="21" t="n"/>
      <c r="C179" s="22" t="n"/>
      <c r="D179" s="21" t="n"/>
      <c r="E179" s="21" t="n"/>
    </row>
    <row r="180">
      <c r="A180" s="21" t="n"/>
      <c r="B180" s="21" t="n"/>
      <c r="C180" s="22" t="n"/>
      <c r="D180" s="21" t="n"/>
      <c r="E180" s="21" t="n"/>
    </row>
    <row r="181">
      <c r="A181" s="21" t="n"/>
      <c r="B181" s="21" t="n"/>
      <c r="C181" s="22" t="n"/>
      <c r="D181" s="21" t="n"/>
      <c r="E181" s="21" t="n"/>
    </row>
    <row r="182">
      <c r="A182" s="21" t="n"/>
      <c r="B182" s="21" t="n"/>
      <c r="C182" s="22" t="n"/>
      <c r="D182" s="21" t="n"/>
      <c r="E182" s="21" t="n"/>
    </row>
    <row r="183">
      <c r="A183" s="21" t="n"/>
      <c r="B183" s="21" t="n"/>
      <c r="C183" s="22" t="n"/>
      <c r="D183" s="21" t="n"/>
      <c r="E183" s="21" t="n"/>
    </row>
    <row r="184">
      <c r="A184" s="21" t="n"/>
      <c r="B184" s="21" t="n"/>
      <c r="C184" s="22" t="n"/>
      <c r="D184" s="21" t="n"/>
      <c r="E184" s="21" t="n"/>
    </row>
    <row r="185">
      <c r="A185" s="21" t="n"/>
      <c r="B185" s="21" t="n"/>
      <c r="C185" s="22" t="n"/>
      <c r="D185" s="21" t="n"/>
      <c r="E185" s="21" t="n"/>
    </row>
    <row r="186">
      <c r="A186" s="21" t="n"/>
      <c r="B186" s="21" t="n"/>
      <c r="C186" s="22" t="n"/>
      <c r="D186" s="21" t="n"/>
      <c r="E186" s="21" t="n"/>
    </row>
    <row r="187">
      <c r="A187" s="21" t="n"/>
      <c r="B187" s="21" t="n"/>
      <c r="C187" s="22" t="n"/>
      <c r="D187" s="21" t="n"/>
      <c r="E187" s="21" t="n"/>
    </row>
    <row r="188">
      <c r="A188" s="21" t="n"/>
      <c r="B188" s="21" t="n"/>
      <c r="C188" s="22" t="n"/>
      <c r="D188" s="21" t="n"/>
      <c r="E188" s="21" t="n"/>
    </row>
    <row r="189">
      <c r="A189" s="21" t="n"/>
      <c r="B189" s="21" t="n"/>
      <c r="C189" s="22" t="n"/>
      <c r="D189" s="21" t="n"/>
      <c r="E189" s="21" t="n"/>
    </row>
    <row r="190">
      <c r="A190" s="21" t="n"/>
      <c r="B190" s="21" t="n"/>
      <c r="C190" s="22" t="n"/>
      <c r="D190" s="21" t="n"/>
      <c r="E190" s="21" t="n"/>
    </row>
    <row r="191">
      <c r="A191" s="21" t="n"/>
      <c r="B191" s="21" t="n"/>
      <c r="C191" s="22" t="n"/>
      <c r="D191" s="21" t="n"/>
      <c r="E191" s="21" t="n"/>
    </row>
    <row r="192">
      <c r="A192" s="21" t="n"/>
      <c r="B192" s="21" t="n"/>
      <c r="C192" s="22" t="n"/>
      <c r="D192" s="21" t="n"/>
      <c r="E192" s="21" t="n"/>
    </row>
    <row r="193">
      <c r="A193" s="21" t="n"/>
      <c r="B193" s="21" t="n"/>
      <c r="C193" s="22" t="n"/>
      <c r="D193" s="21" t="n"/>
      <c r="E193" s="21" t="n"/>
    </row>
    <row r="194">
      <c r="A194" s="21" t="n"/>
      <c r="B194" s="21" t="n"/>
      <c r="C194" s="22" t="n"/>
      <c r="D194" s="21" t="n"/>
      <c r="E194" s="21" t="n"/>
    </row>
    <row r="195">
      <c r="A195" s="21" t="n"/>
      <c r="B195" s="21" t="n"/>
      <c r="C195" s="22" t="n"/>
      <c r="D195" s="21" t="n"/>
      <c r="E195" s="21" t="n"/>
    </row>
    <row r="196">
      <c r="A196" s="21" t="n"/>
      <c r="B196" s="21" t="n"/>
      <c r="C196" s="22" t="n"/>
      <c r="D196" s="21" t="n"/>
      <c r="E196" s="21" t="n"/>
    </row>
    <row r="197">
      <c r="A197" s="21" t="n"/>
      <c r="B197" s="21" t="n"/>
      <c r="C197" s="22" t="n"/>
      <c r="D197" s="21" t="n"/>
      <c r="E197" s="21" t="n"/>
    </row>
    <row r="198">
      <c r="A198" s="21" t="n"/>
      <c r="B198" s="21" t="n"/>
      <c r="C198" s="22" t="n"/>
      <c r="D198" s="21" t="n"/>
      <c r="E198" s="21" t="n"/>
    </row>
    <row r="199">
      <c r="A199" s="21" t="n"/>
      <c r="B199" s="21" t="n"/>
      <c r="C199" s="22" t="n"/>
      <c r="D199" s="21" t="n"/>
      <c r="E199" s="21" t="n"/>
    </row>
    <row r="200">
      <c r="A200" s="21" t="n"/>
      <c r="B200" s="21" t="n"/>
      <c r="C200" s="22" t="n"/>
      <c r="D200" s="21" t="n"/>
      <c r="E200" s="21" t="n"/>
    </row>
    <row r="201">
      <c r="A201" s="21" t="n"/>
      <c r="B201" s="21" t="n"/>
      <c r="C201" s="22" t="n"/>
      <c r="D201" s="21" t="n"/>
      <c r="E201" s="21" t="n"/>
    </row>
    <row r="202">
      <c r="A202" s="21" t="n"/>
      <c r="B202" s="21" t="n"/>
      <c r="C202" s="22" t="n"/>
      <c r="D202" s="21" t="n"/>
      <c r="E202" s="21" t="n"/>
    </row>
    <row r="203">
      <c r="A203" s="21" t="n"/>
      <c r="B203" s="21" t="n"/>
      <c r="C203" s="22" t="n"/>
      <c r="D203" s="21" t="n"/>
      <c r="E203" s="21" t="n"/>
    </row>
    <row r="204">
      <c r="A204" s="21" t="n"/>
      <c r="B204" s="21" t="n"/>
      <c r="C204" s="22" t="n"/>
      <c r="D204" s="21" t="n"/>
      <c r="E204" s="21" t="n"/>
    </row>
    <row r="205">
      <c r="A205" s="21" t="n"/>
      <c r="B205" s="21" t="n"/>
      <c r="C205" s="22" t="n"/>
      <c r="D205" s="21" t="n"/>
      <c r="E205" s="21" t="n"/>
    </row>
    <row r="206">
      <c r="A206" s="21" t="n"/>
      <c r="B206" s="21" t="n"/>
      <c r="C206" s="22" t="n"/>
      <c r="D206" s="21" t="n"/>
      <c r="E206" s="21" t="n"/>
    </row>
    <row r="207">
      <c r="A207" s="21" t="n"/>
      <c r="B207" s="21" t="n"/>
      <c r="C207" s="22" t="n"/>
      <c r="D207" s="21" t="n"/>
      <c r="E207" s="21" t="n"/>
    </row>
    <row r="208">
      <c r="A208" s="21" t="n"/>
      <c r="B208" s="21" t="n"/>
      <c r="C208" s="22" t="n"/>
      <c r="D208" s="21" t="n"/>
      <c r="E208" s="21" t="n"/>
    </row>
    <row r="209">
      <c r="A209" s="21" t="n"/>
      <c r="B209" s="21" t="n"/>
      <c r="C209" s="22" t="n"/>
      <c r="D209" s="21" t="n"/>
      <c r="E209" s="21" t="n"/>
    </row>
    <row r="210">
      <c r="A210" s="21" t="n"/>
      <c r="B210" s="21" t="n"/>
      <c r="C210" s="22" t="n"/>
      <c r="D210" s="21" t="n"/>
      <c r="E210" s="21" t="n"/>
    </row>
    <row r="211">
      <c r="A211" s="21" t="n"/>
      <c r="B211" s="21" t="n"/>
      <c r="C211" s="22" t="n"/>
      <c r="D211" s="21" t="n"/>
      <c r="E211" s="21" t="n"/>
    </row>
    <row r="212">
      <c r="A212" s="21" t="n"/>
      <c r="B212" s="21" t="n"/>
      <c r="C212" s="22" t="n"/>
      <c r="D212" s="21" t="n"/>
      <c r="E212" s="21" t="n"/>
    </row>
    <row r="213">
      <c r="A213" s="21" t="n"/>
      <c r="B213" s="21" t="n"/>
      <c r="C213" s="22" t="n"/>
      <c r="D213" s="21" t="n"/>
      <c r="E213" s="21" t="n"/>
    </row>
    <row r="214">
      <c r="A214" s="21" t="n"/>
      <c r="B214" s="21" t="n"/>
      <c r="C214" s="22" t="n"/>
      <c r="D214" s="21" t="n"/>
      <c r="E214" s="21" t="n"/>
    </row>
    <row r="215">
      <c r="A215" s="21" t="n"/>
      <c r="B215" s="21" t="n"/>
      <c r="C215" s="22" t="n"/>
      <c r="D215" s="21" t="n"/>
      <c r="E215" s="21" t="n"/>
    </row>
    <row r="216">
      <c r="A216" s="21" t="n"/>
      <c r="B216" s="21" t="n"/>
      <c r="C216" s="22" t="n"/>
      <c r="D216" s="21" t="n"/>
      <c r="E216" s="21" t="n"/>
    </row>
    <row r="217">
      <c r="A217" s="21" t="n"/>
      <c r="B217" s="21" t="n"/>
      <c r="C217" s="22" t="n"/>
      <c r="D217" s="21" t="n"/>
      <c r="E217" s="21" t="n"/>
    </row>
    <row r="218">
      <c r="A218" s="21" t="n"/>
      <c r="B218" s="21" t="n"/>
      <c r="C218" s="22" t="n"/>
      <c r="D218" s="21" t="n"/>
      <c r="E218" s="21" t="n"/>
    </row>
    <row r="219">
      <c r="A219" s="21" t="n"/>
      <c r="B219" s="21" t="n"/>
      <c r="C219" s="22" t="n"/>
      <c r="D219" s="21" t="n"/>
      <c r="E219" s="21" t="n"/>
    </row>
    <row r="220">
      <c r="A220" s="21" t="n"/>
      <c r="B220" s="21" t="n"/>
      <c r="C220" s="22" t="n"/>
      <c r="D220" s="21" t="n"/>
      <c r="E220" s="21" t="n"/>
    </row>
    <row r="221">
      <c r="A221" s="21" t="n"/>
      <c r="B221" s="21" t="n"/>
      <c r="C221" s="22" t="n"/>
      <c r="D221" s="21" t="n"/>
      <c r="E221" s="21" t="n"/>
    </row>
    <row r="222">
      <c r="A222" s="21" t="n"/>
      <c r="B222" s="21" t="n"/>
      <c r="C222" s="22" t="n"/>
      <c r="D222" s="21" t="n"/>
      <c r="E222" s="21" t="n"/>
    </row>
    <row r="223">
      <c r="A223" s="21" t="n"/>
      <c r="B223" s="21" t="n"/>
      <c r="C223" s="22" t="n"/>
      <c r="D223" s="21" t="n"/>
      <c r="E223" s="21" t="n"/>
    </row>
    <row r="224">
      <c r="A224" s="21" t="n"/>
      <c r="B224" s="21" t="n"/>
      <c r="C224" s="22" t="n"/>
      <c r="D224" s="21" t="n"/>
      <c r="E224" s="21" t="n"/>
    </row>
    <row r="225">
      <c r="A225" s="21" t="n"/>
      <c r="B225" s="21" t="n"/>
      <c r="C225" s="22" t="n"/>
      <c r="D225" s="21" t="n"/>
      <c r="E225" s="21" t="n"/>
    </row>
    <row r="226">
      <c r="A226" s="21" t="n"/>
      <c r="B226" s="21" t="n"/>
      <c r="C226" s="22" t="n"/>
      <c r="D226" s="21" t="n"/>
      <c r="E226" s="21" t="n"/>
    </row>
    <row r="227">
      <c r="A227" s="21" t="n"/>
      <c r="B227" s="21" t="n"/>
      <c r="C227" s="22" t="n"/>
      <c r="D227" s="21" t="n"/>
      <c r="E227" s="21" t="n"/>
    </row>
    <row r="228">
      <c r="A228" s="21" t="n"/>
      <c r="B228" s="21" t="n"/>
      <c r="C228" s="22" t="n"/>
      <c r="D228" s="21" t="n"/>
      <c r="E228" s="21" t="n"/>
    </row>
    <row r="229">
      <c r="A229" s="21" t="n"/>
      <c r="B229" s="21" t="n"/>
      <c r="C229" s="22" t="n"/>
      <c r="D229" s="21" t="n"/>
      <c r="E229" s="21" t="n"/>
    </row>
    <row r="230">
      <c r="A230" s="21" t="n"/>
      <c r="B230" s="21" t="n"/>
      <c r="C230" s="22" t="n"/>
      <c r="D230" s="21" t="n"/>
      <c r="E230" s="21" t="n"/>
    </row>
    <row r="231">
      <c r="A231" s="21" t="n"/>
      <c r="B231" s="21" t="n"/>
      <c r="C231" s="22" t="n"/>
      <c r="D231" s="21" t="n"/>
      <c r="E231" s="21" t="n"/>
    </row>
    <row r="232">
      <c r="A232" s="21" t="n"/>
      <c r="B232" s="21" t="n"/>
      <c r="C232" s="22" t="n"/>
      <c r="D232" s="21" t="n"/>
      <c r="E232" s="21" t="n"/>
    </row>
    <row r="233">
      <c r="A233" s="21" t="n"/>
      <c r="B233" s="21" t="n"/>
      <c r="C233" s="22" t="n"/>
      <c r="D233" s="21" t="n"/>
      <c r="E233" s="21" t="n"/>
    </row>
    <row r="234">
      <c r="A234" s="21" t="n"/>
      <c r="B234" s="21" t="n"/>
      <c r="C234" s="22" t="n"/>
      <c r="D234" s="21" t="n"/>
      <c r="E234" s="21" t="n"/>
    </row>
    <row r="235">
      <c r="A235" s="21" t="n"/>
      <c r="B235" s="21" t="n"/>
      <c r="C235" s="22" t="n"/>
      <c r="D235" s="21" t="n"/>
      <c r="E235" s="21" t="n"/>
    </row>
    <row r="236">
      <c r="A236" s="21" t="n"/>
      <c r="B236" s="21" t="n"/>
      <c r="C236" s="22" t="n"/>
      <c r="D236" s="21" t="n"/>
      <c r="E236" s="21" t="n"/>
    </row>
    <row r="237">
      <c r="A237" s="21" t="n"/>
      <c r="B237" s="21" t="n"/>
      <c r="C237" s="22" t="n"/>
      <c r="D237" s="21" t="n"/>
      <c r="E237" s="21" t="n"/>
    </row>
    <row r="238">
      <c r="A238" s="21" t="n"/>
      <c r="B238" s="21" t="n"/>
      <c r="C238" s="22" t="n"/>
      <c r="D238" s="21" t="n"/>
      <c r="E238" s="21" t="n"/>
    </row>
    <row r="239">
      <c r="A239" s="21" t="n"/>
      <c r="B239" s="21" t="n"/>
      <c r="C239" s="22" t="n"/>
      <c r="D239" s="21" t="n"/>
      <c r="E239" s="21" t="n"/>
    </row>
    <row r="240">
      <c r="A240" s="21" t="n"/>
      <c r="B240" s="21" t="n"/>
      <c r="C240" s="22" t="n"/>
      <c r="D240" s="21" t="n"/>
      <c r="E240" s="21" t="n"/>
    </row>
    <row r="241">
      <c r="A241" s="21" t="n"/>
      <c r="B241" s="21" t="n"/>
      <c r="C241" s="22" t="n"/>
      <c r="D241" s="21" t="n"/>
      <c r="E241" s="21" t="n"/>
    </row>
    <row r="242">
      <c r="A242" s="21" t="n"/>
      <c r="B242" s="21" t="n"/>
      <c r="C242" s="22" t="n"/>
      <c r="D242" s="21" t="n"/>
      <c r="E242" s="21" t="n"/>
    </row>
    <row r="243">
      <c r="A243" s="21" t="n"/>
      <c r="B243" s="21" t="n"/>
      <c r="C243" s="22" t="n"/>
      <c r="D243" s="21" t="n"/>
      <c r="E243" s="21" t="n"/>
    </row>
    <row r="244">
      <c r="A244" s="21" t="n"/>
      <c r="B244" s="21" t="n"/>
      <c r="C244" s="22" t="n"/>
      <c r="D244" s="21" t="n"/>
      <c r="E244" s="21" t="n"/>
    </row>
    <row r="245">
      <c r="A245" s="21" t="n"/>
      <c r="B245" s="21" t="n"/>
      <c r="C245" s="22" t="n"/>
      <c r="D245" s="21" t="n"/>
      <c r="E245" s="21" t="n"/>
    </row>
    <row r="246">
      <c r="A246" s="21" t="n"/>
      <c r="B246" s="21" t="n"/>
      <c r="C246" s="22" t="n"/>
      <c r="D246" s="21" t="n"/>
      <c r="E246" s="21" t="n"/>
    </row>
    <row r="247">
      <c r="A247" s="21" t="n"/>
      <c r="B247" s="21" t="n"/>
      <c r="C247" s="22" t="n"/>
      <c r="D247" s="21" t="n"/>
      <c r="E247" s="21" t="n"/>
    </row>
    <row r="248">
      <c r="A248" s="21" t="n"/>
      <c r="B248" s="21" t="n"/>
      <c r="C248" s="22" t="n"/>
      <c r="D248" s="21" t="n"/>
      <c r="E248" s="21" t="n"/>
    </row>
    <row r="249">
      <c r="A249" s="21" t="n"/>
      <c r="B249" s="21" t="n"/>
      <c r="C249" s="22" t="n"/>
      <c r="D249" s="21" t="n"/>
      <c r="E249" s="21" t="n"/>
    </row>
    <row r="250">
      <c r="A250" s="21" t="n"/>
      <c r="B250" s="21" t="n"/>
      <c r="C250" s="22" t="n"/>
      <c r="D250" s="21" t="n"/>
      <c r="E250" s="21" t="n"/>
    </row>
    <row r="251">
      <c r="A251" s="21" t="n"/>
      <c r="B251" s="21" t="n"/>
      <c r="C251" s="22" t="n"/>
      <c r="D251" s="21" t="n"/>
      <c r="E251" s="21" t="n"/>
    </row>
    <row r="252">
      <c r="A252" s="21" t="n"/>
      <c r="B252" s="21" t="n"/>
      <c r="C252" s="22" t="n"/>
      <c r="D252" s="21" t="n"/>
      <c r="E252" s="21" t="n"/>
    </row>
    <row r="253">
      <c r="A253" s="21" t="n"/>
      <c r="B253" s="21" t="n"/>
      <c r="C253" s="22" t="n"/>
      <c r="D253" s="21" t="n"/>
      <c r="E253" s="21" t="n"/>
    </row>
    <row r="254">
      <c r="A254" s="21" t="n"/>
      <c r="B254" s="21" t="n"/>
      <c r="C254" s="22" t="n"/>
      <c r="D254" s="21" t="n"/>
      <c r="E254" s="21" t="n"/>
    </row>
    <row r="255">
      <c r="A255" s="21" t="n"/>
      <c r="B255" s="21" t="n"/>
      <c r="C255" s="22" t="n"/>
      <c r="D255" s="21" t="n"/>
      <c r="E255" s="21" t="n"/>
    </row>
    <row r="256">
      <c r="A256" s="21" t="n"/>
      <c r="B256" s="21" t="n"/>
      <c r="C256" s="22" t="n"/>
      <c r="D256" s="21" t="n"/>
      <c r="E256" s="21" t="n"/>
    </row>
    <row r="257">
      <c r="A257" s="21" t="n"/>
      <c r="B257" s="21" t="n"/>
      <c r="C257" s="22" t="n"/>
      <c r="D257" s="21" t="n"/>
      <c r="E257" s="21" t="n"/>
    </row>
    <row r="258">
      <c r="A258" s="21" t="n"/>
      <c r="B258" s="21" t="n"/>
      <c r="C258" s="22" t="n"/>
      <c r="D258" s="21" t="n"/>
      <c r="E258" s="21" t="n"/>
    </row>
    <row r="259">
      <c r="A259" s="21" t="n"/>
      <c r="B259" s="21" t="n"/>
      <c r="C259" s="22" t="n"/>
      <c r="D259" s="21" t="n"/>
      <c r="E259" s="21" t="n"/>
    </row>
    <row r="260">
      <c r="A260" s="21" t="n"/>
      <c r="B260" s="21" t="n"/>
      <c r="C260" s="22" t="n"/>
      <c r="D260" s="21" t="n"/>
      <c r="E260" s="21" t="n"/>
    </row>
    <row r="261">
      <c r="A261" s="21" t="n"/>
      <c r="B261" s="21" t="n"/>
      <c r="C261" s="22" t="n"/>
      <c r="D261" s="21" t="n"/>
      <c r="E261" s="21" t="n"/>
    </row>
    <row r="262">
      <c r="A262" s="21" t="n"/>
      <c r="B262" s="21" t="n"/>
      <c r="C262" s="22" t="n"/>
      <c r="D262" s="21" t="n"/>
      <c r="E262" s="21" t="n"/>
    </row>
    <row r="263">
      <c r="A263" s="21" t="n"/>
      <c r="B263" s="21" t="n"/>
      <c r="C263" s="22" t="n"/>
      <c r="D263" s="21" t="n"/>
      <c r="E263" s="21" t="n"/>
    </row>
    <row r="264">
      <c r="A264" s="21" t="n"/>
      <c r="B264" s="21" t="n"/>
      <c r="C264" s="22" t="n"/>
      <c r="D264" s="21" t="n"/>
      <c r="E264" s="21" t="n"/>
    </row>
    <row r="265">
      <c r="A265" s="21" t="n"/>
      <c r="B265" s="21" t="n"/>
      <c r="C265" s="22" t="n"/>
      <c r="D265" s="21" t="n"/>
      <c r="E265" s="21" t="n"/>
    </row>
    <row r="266">
      <c r="A266" s="21" t="n"/>
      <c r="B266" s="21" t="n"/>
      <c r="C266" s="22" t="n"/>
      <c r="D266" s="21" t="n"/>
      <c r="E266" s="21" t="n"/>
    </row>
    <row r="267">
      <c r="A267" s="21" t="n"/>
      <c r="B267" s="21" t="n"/>
      <c r="C267" s="22" t="n"/>
      <c r="D267" s="21" t="n"/>
      <c r="E267" s="21" t="n"/>
    </row>
    <row r="268">
      <c r="A268" s="21" t="n"/>
      <c r="B268" s="21" t="n"/>
      <c r="C268" s="22" t="n"/>
      <c r="D268" s="21" t="n"/>
      <c r="E268" s="21" t="n"/>
    </row>
    <row r="269">
      <c r="A269" s="21" t="n"/>
      <c r="B269" s="21" t="n"/>
      <c r="C269" s="22" t="n"/>
      <c r="D269" s="21" t="n"/>
      <c r="E269" s="21" t="n"/>
    </row>
    <row r="270">
      <c r="A270" s="21" t="n"/>
      <c r="B270" s="21" t="n"/>
      <c r="C270" s="22" t="n"/>
      <c r="D270" s="21" t="n"/>
      <c r="E270" s="21" t="n"/>
    </row>
    <row r="271">
      <c r="A271" s="21" t="n"/>
      <c r="B271" s="21" t="n"/>
      <c r="C271" s="22" t="n"/>
      <c r="D271" s="21" t="n"/>
      <c r="E271" s="21" t="n"/>
    </row>
    <row r="272">
      <c r="A272" s="21" t="n"/>
      <c r="B272" s="21" t="n"/>
      <c r="C272" s="22" t="n"/>
      <c r="D272" s="21" t="n"/>
      <c r="E272" s="21" t="n"/>
    </row>
    <row r="273">
      <c r="A273" s="21" t="n"/>
      <c r="B273" s="21" t="n"/>
      <c r="C273" s="22" t="n"/>
      <c r="D273" s="21" t="n"/>
      <c r="E273" s="21" t="n"/>
    </row>
    <row r="274">
      <c r="A274" s="21" t="n"/>
      <c r="B274" s="21" t="n"/>
      <c r="C274" s="22" t="n"/>
      <c r="D274" s="21" t="n"/>
      <c r="E274" s="21" t="n"/>
    </row>
    <row r="275">
      <c r="A275" s="21" t="n"/>
      <c r="B275" s="21" t="n"/>
      <c r="C275" s="22" t="n"/>
      <c r="D275" s="21" t="n"/>
      <c r="E275" s="21" t="n"/>
    </row>
    <row r="276">
      <c r="A276" s="21" t="n"/>
      <c r="B276" s="21" t="n"/>
      <c r="C276" s="22" t="n"/>
      <c r="D276" s="21" t="n"/>
      <c r="E276" s="21" t="n"/>
    </row>
    <row r="277">
      <c r="A277" s="21" t="n"/>
      <c r="B277" s="21" t="n"/>
      <c r="C277" s="22" t="n"/>
      <c r="D277" s="21" t="n"/>
      <c r="E277" s="21" t="n"/>
    </row>
    <row r="278">
      <c r="A278" s="21" t="n"/>
      <c r="B278" s="21" t="n"/>
      <c r="C278" s="22" t="n"/>
      <c r="D278" s="21" t="n"/>
      <c r="E278" s="21" t="n"/>
    </row>
    <row r="279">
      <c r="A279" s="21" t="n"/>
      <c r="B279" s="21" t="n"/>
      <c r="C279" s="22" t="n"/>
      <c r="D279" s="21" t="n"/>
      <c r="E279" s="21" t="n"/>
    </row>
    <row r="280">
      <c r="A280" s="21" t="n"/>
      <c r="B280" s="21" t="n"/>
      <c r="C280" s="22" t="n"/>
      <c r="D280" s="21" t="n"/>
      <c r="E280" s="21" t="n"/>
    </row>
    <row r="281">
      <c r="A281" s="21" t="n"/>
      <c r="B281" s="21" t="n"/>
      <c r="C281" s="22" t="n"/>
      <c r="D281" s="21" t="n"/>
      <c r="E281" s="21" t="n"/>
    </row>
    <row r="282">
      <c r="A282" s="21" t="n"/>
      <c r="B282" s="21" t="n"/>
      <c r="C282" s="22" t="n"/>
      <c r="D282" s="21" t="n"/>
      <c r="E282" s="21" t="n"/>
    </row>
    <row r="283">
      <c r="A283" s="21" t="n"/>
      <c r="B283" s="21" t="n"/>
      <c r="C283" s="22" t="n"/>
      <c r="D283" s="21" t="n"/>
      <c r="E283" s="21" t="n"/>
    </row>
    <row r="284">
      <c r="A284" s="21" t="n"/>
      <c r="B284" s="21" t="n"/>
      <c r="C284" s="22" t="n"/>
      <c r="D284" s="21" t="n"/>
      <c r="E284" s="21" t="n"/>
    </row>
    <row r="285">
      <c r="A285" s="21" t="n"/>
      <c r="B285" s="21" t="n"/>
      <c r="C285" s="22" t="n"/>
      <c r="D285" s="21" t="n"/>
      <c r="E285" s="21" t="n"/>
    </row>
    <row r="286">
      <c r="A286" s="21" t="n"/>
      <c r="B286" s="21" t="n"/>
      <c r="C286" s="22" t="n"/>
      <c r="D286" s="21" t="n"/>
      <c r="E286" s="21" t="n"/>
    </row>
    <row r="287">
      <c r="A287" s="21" t="n"/>
      <c r="B287" s="21" t="n"/>
      <c r="C287" s="22" t="n"/>
      <c r="D287" s="21" t="n"/>
      <c r="E287" s="21" t="n"/>
    </row>
    <row r="288">
      <c r="A288" s="21" t="n"/>
      <c r="B288" s="21" t="n"/>
      <c r="C288" s="22" t="n"/>
      <c r="D288" s="21" t="n"/>
      <c r="E288" s="21" t="n"/>
    </row>
    <row r="289">
      <c r="A289" s="21" t="n"/>
      <c r="B289" s="21" t="n"/>
      <c r="C289" s="22" t="n"/>
      <c r="D289" s="21" t="n"/>
      <c r="E289" s="21" t="n"/>
    </row>
    <row r="290">
      <c r="A290" s="21" t="n"/>
      <c r="B290" s="21" t="n"/>
      <c r="C290" s="22" t="n"/>
      <c r="D290" s="21" t="n"/>
      <c r="E290" s="21" t="n"/>
    </row>
    <row r="291">
      <c r="A291" s="21" t="n"/>
      <c r="B291" s="21" t="n"/>
      <c r="C291" s="22" t="n"/>
      <c r="D291" s="21" t="n"/>
      <c r="E291" s="21" t="n"/>
    </row>
    <row r="292">
      <c r="A292" s="21" t="n"/>
      <c r="B292" s="21" t="n"/>
      <c r="C292" s="22" t="n"/>
      <c r="D292" s="21" t="n"/>
      <c r="E292" s="21" t="n"/>
    </row>
    <row r="293">
      <c r="A293" s="21" t="n"/>
      <c r="B293" s="21" t="n"/>
      <c r="C293" s="22" t="n"/>
      <c r="D293" s="21" t="n"/>
      <c r="E293" s="21" t="n"/>
    </row>
    <row r="294">
      <c r="A294" s="21" t="n"/>
      <c r="B294" s="21" t="n"/>
      <c r="C294" s="22" t="n"/>
      <c r="D294" s="21" t="n"/>
      <c r="E294" s="21" t="n"/>
    </row>
    <row r="295">
      <c r="A295" s="21" t="n"/>
      <c r="B295" s="21" t="n"/>
      <c r="C295" s="22" t="n"/>
      <c r="D295" s="21" t="n"/>
      <c r="E295" s="21" t="n"/>
    </row>
    <row r="296">
      <c r="A296" s="21" t="n"/>
      <c r="B296" s="21" t="n"/>
      <c r="C296" s="22" t="n"/>
      <c r="D296" s="21" t="n"/>
      <c r="E296" s="21" t="n"/>
    </row>
    <row r="297">
      <c r="A297" s="21" t="n"/>
      <c r="B297" s="21" t="n"/>
      <c r="C297" s="22" t="n"/>
      <c r="D297" s="21" t="n"/>
      <c r="E297" s="21" t="n"/>
    </row>
    <row r="298">
      <c r="A298" s="21" t="n"/>
      <c r="B298" s="21" t="n"/>
      <c r="C298" s="22" t="n"/>
      <c r="D298" s="21" t="n"/>
      <c r="E298" s="21" t="n"/>
    </row>
    <row r="299">
      <c r="A299" s="21" t="n"/>
      <c r="B299" s="21" t="n"/>
      <c r="C299" s="22" t="n"/>
      <c r="D299" s="21" t="n"/>
      <c r="E299" s="21" t="n"/>
    </row>
    <row r="300">
      <c r="A300" s="21" t="n"/>
      <c r="B300" s="21" t="n"/>
      <c r="C300" s="22" t="n"/>
      <c r="D300" s="21" t="n"/>
      <c r="E300" s="21" t="n"/>
    </row>
    <row r="301">
      <c r="A301" s="21" t="n"/>
      <c r="B301" s="21" t="n"/>
      <c r="C301" s="22" t="n"/>
      <c r="D301" s="21" t="n"/>
      <c r="E301" s="21" t="n"/>
    </row>
    <row r="302">
      <c r="A302" s="21" t="n"/>
      <c r="B302" s="21" t="n"/>
      <c r="C302" s="22" t="n"/>
      <c r="D302" s="21" t="n"/>
      <c r="E302" s="21" t="n"/>
    </row>
    <row r="303">
      <c r="A303" s="21" t="n"/>
      <c r="B303" s="21" t="n"/>
      <c r="C303" s="22" t="n"/>
      <c r="D303" s="21" t="n"/>
      <c r="E303" s="21" t="n"/>
    </row>
    <row r="304">
      <c r="A304" s="21" t="n"/>
      <c r="B304" s="21" t="n"/>
      <c r="C304" s="22" t="n"/>
      <c r="D304" s="21" t="n"/>
      <c r="E304" s="21" t="n"/>
    </row>
  </sheetData>
  <mergeCells count="2">
    <mergeCell ref="A2:E2"/>
    <mergeCell ref="A1:E1"/>
  </mergeCells>
  <dataValidations count="1">
    <dataValidation sqref="E5:E304" showDropDown="0" showInputMessage="0" showErrorMessage="0" allowBlank="1" error="Pick a value from the list." promptTitle="Select" prompt="Choose from the dropdown." type="list">
      <formula1>=VehStatusList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B6B86"/>
    <outlinePr summaryBelow="1" summaryRight="1"/>
    <pageSetUpPr/>
  </sheetPr>
  <dimension ref="A1:D3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20" customWidth="1" min="3" max="3"/>
    <col width="30" customWidth="1" min="4" max="4"/>
  </cols>
  <sheetData>
    <row r="1" ht="34" customHeight="1">
      <c r="A1" s="1" t="inlineStr">
        <is>
          <t>Setup  -  Drivers</t>
        </is>
      </c>
      <c r="B1" s="2" t="n"/>
      <c r="C1" s="2" t="n"/>
      <c r="D1" s="2" t="n"/>
    </row>
    <row r="2" ht="18" customHeight="1">
      <c r="A2" s="3" t="inlineStr">
        <is>
          <t>Driver master.</t>
        </is>
      </c>
      <c r="B2" s="2" t="n"/>
      <c r="C2" s="2" t="n"/>
      <c r="D2" s="2" t="n"/>
    </row>
    <row r="4" ht="30" customHeight="1">
      <c r="A4" s="17" t="inlineStr">
        <is>
          <t>Driver Name</t>
        </is>
      </c>
      <c r="B4" s="17" t="inlineStr">
        <is>
          <t>Phone</t>
        </is>
      </c>
      <c r="C4" s="17" t="inlineStr">
        <is>
          <t>Licence No.</t>
        </is>
      </c>
      <c r="D4" s="17" t="inlineStr">
        <is>
          <t>Notes</t>
        </is>
      </c>
    </row>
    <row r="5">
      <c r="A5" s="21" t="inlineStr">
        <is>
          <t>Ramesh Pawar</t>
        </is>
      </c>
      <c r="B5" s="21" t="inlineStr">
        <is>
          <t>9001122334</t>
        </is>
      </c>
      <c r="C5" s="21" t="inlineStr">
        <is>
          <t>MH1220190001234</t>
        </is>
      </c>
      <c r="D5" s="21" t="inlineStr"/>
    </row>
    <row r="6">
      <c r="A6" s="21" t="inlineStr">
        <is>
          <t>Suresh Jadhav</t>
        </is>
      </c>
      <c r="B6" s="21" t="inlineStr">
        <is>
          <t>9002233445</t>
        </is>
      </c>
      <c r="C6" s="21" t="inlineStr">
        <is>
          <t>MH1220180005678</t>
        </is>
      </c>
      <c r="D6" s="21" t="inlineStr"/>
    </row>
    <row r="7">
      <c r="A7" s="21" t="inlineStr">
        <is>
          <t>Vijay More</t>
        </is>
      </c>
      <c r="B7" s="21" t="inlineStr">
        <is>
          <t>9003344556</t>
        </is>
      </c>
      <c r="C7" s="21" t="inlineStr">
        <is>
          <t>MH1220200009012</t>
        </is>
      </c>
      <c r="D7" s="21" t="inlineStr"/>
    </row>
    <row r="8">
      <c r="A8" s="21" t="n"/>
      <c r="B8" s="21" t="n"/>
      <c r="C8" s="21" t="n"/>
      <c r="D8" s="21" t="n"/>
    </row>
    <row r="9">
      <c r="A9" s="21" t="n"/>
      <c r="B9" s="21" t="n"/>
      <c r="C9" s="21" t="n"/>
      <c r="D9" s="21" t="n"/>
    </row>
    <row r="10">
      <c r="A10" s="21" t="n"/>
      <c r="B10" s="21" t="n"/>
      <c r="C10" s="21" t="n"/>
      <c r="D10" s="21" t="n"/>
    </row>
    <row r="11">
      <c r="A11" s="21" t="n"/>
      <c r="B11" s="21" t="n"/>
      <c r="C11" s="21" t="n"/>
      <c r="D11" s="21" t="n"/>
    </row>
    <row r="12">
      <c r="A12" s="21" t="n"/>
      <c r="B12" s="21" t="n"/>
      <c r="C12" s="21" t="n"/>
      <c r="D12" s="21" t="n"/>
    </row>
    <row r="13">
      <c r="A13" s="21" t="n"/>
      <c r="B13" s="21" t="n"/>
      <c r="C13" s="21" t="n"/>
      <c r="D13" s="21" t="n"/>
    </row>
    <row r="14">
      <c r="A14" s="21" t="n"/>
      <c r="B14" s="21" t="n"/>
      <c r="C14" s="21" t="n"/>
      <c r="D14" s="21" t="n"/>
    </row>
    <row r="15">
      <c r="A15" s="21" t="n"/>
      <c r="B15" s="21" t="n"/>
      <c r="C15" s="21" t="n"/>
      <c r="D15" s="21" t="n"/>
    </row>
    <row r="16">
      <c r="A16" s="21" t="n"/>
      <c r="B16" s="21" t="n"/>
      <c r="C16" s="21" t="n"/>
      <c r="D16" s="21" t="n"/>
    </row>
    <row r="17">
      <c r="A17" s="21" t="n"/>
      <c r="B17" s="21" t="n"/>
      <c r="C17" s="21" t="n"/>
      <c r="D17" s="21" t="n"/>
    </row>
    <row r="18">
      <c r="A18" s="21" t="n"/>
      <c r="B18" s="21" t="n"/>
      <c r="C18" s="21" t="n"/>
      <c r="D18" s="21" t="n"/>
    </row>
    <row r="19">
      <c r="A19" s="21" t="n"/>
      <c r="B19" s="21" t="n"/>
      <c r="C19" s="21" t="n"/>
      <c r="D19" s="21" t="n"/>
    </row>
    <row r="20">
      <c r="A20" s="21" t="n"/>
      <c r="B20" s="21" t="n"/>
      <c r="C20" s="21" t="n"/>
      <c r="D20" s="21" t="n"/>
    </row>
    <row r="21">
      <c r="A21" s="21" t="n"/>
      <c r="B21" s="21" t="n"/>
      <c r="C21" s="21" t="n"/>
      <c r="D21" s="21" t="n"/>
    </row>
    <row r="22">
      <c r="A22" s="21" t="n"/>
      <c r="B22" s="21" t="n"/>
      <c r="C22" s="21" t="n"/>
      <c r="D22" s="21" t="n"/>
    </row>
    <row r="23">
      <c r="A23" s="21" t="n"/>
      <c r="B23" s="21" t="n"/>
      <c r="C23" s="21" t="n"/>
      <c r="D23" s="21" t="n"/>
    </row>
    <row r="24">
      <c r="A24" s="21" t="n"/>
      <c r="B24" s="21" t="n"/>
      <c r="C24" s="21" t="n"/>
      <c r="D24" s="21" t="n"/>
    </row>
    <row r="25">
      <c r="A25" s="21" t="n"/>
      <c r="B25" s="21" t="n"/>
      <c r="C25" s="21" t="n"/>
      <c r="D25" s="21" t="n"/>
    </row>
    <row r="26">
      <c r="A26" s="21" t="n"/>
      <c r="B26" s="21" t="n"/>
      <c r="C26" s="21" t="n"/>
      <c r="D26" s="21" t="n"/>
    </row>
    <row r="27">
      <c r="A27" s="21" t="n"/>
      <c r="B27" s="21" t="n"/>
      <c r="C27" s="21" t="n"/>
      <c r="D27" s="21" t="n"/>
    </row>
    <row r="28">
      <c r="A28" s="21" t="n"/>
      <c r="B28" s="21" t="n"/>
      <c r="C28" s="21" t="n"/>
      <c r="D28" s="21" t="n"/>
    </row>
    <row r="29">
      <c r="A29" s="21" t="n"/>
      <c r="B29" s="21" t="n"/>
      <c r="C29" s="21" t="n"/>
      <c r="D29" s="21" t="n"/>
    </row>
    <row r="30">
      <c r="A30" s="21" t="n"/>
      <c r="B30" s="21" t="n"/>
      <c r="C30" s="21" t="n"/>
      <c r="D30" s="21" t="n"/>
    </row>
    <row r="31">
      <c r="A31" s="21" t="n"/>
      <c r="B31" s="21" t="n"/>
      <c r="C31" s="21" t="n"/>
      <c r="D31" s="21" t="n"/>
    </row>
    <row r="32">
      <c r="A32" s="21" t="n"/>
      <c r="B32" s="21" t="n"/>
      <c r="C32" s="21" t="n"/>
      <c r="D32" s="21" t="n"/>
    </row>
    <row r="33">
      <c r="A33" s="21" t="n"/>
      <c r="B33" s="21" t="n"/>
      <c r="C33" s="21" t="n"/>
      <c r="D33" s="21" t="n"/>
    </row>
    <row r="34">
      <c r="A34" s="21" t="n"/>
      <c r="B34" s="21" t="n"/>
      <c r="C34" s="21" t="n"/>
      <c r="D34" s="21" t="n"/>
    </row>
    <row r="35">
      <c r="A35" s="21" t="n"/>
      <c r="B35" s="21" t="n"/>
      <c r="C35" s="21" t="n"/>
      <c r="D35" s="21" t="n"/>
    </row>
    <row r="36">
      <c r="A36" s="21" t="n"/>
      <c r="B36" s="21" t="n"/>
      <c r="C36" s="21" t="n"/>
      <c r="D36" s="21" t="n"/>
    </row>
    <row r="37">
      <c r="A37" s="21" t="n"/>
      <c r="B37" s="21" t="n"/>
      <c r="C37" s="21" t="n"/>
      <c r="D37" s="21" t="n"/>
    </row>
    <row r="38">
      <c r="A38" s="21" t="n"/>
      <c r="B38" s="21" t="n"/>
      <c r="C38" s="21" t="n"/>
      <c r="D38" s="21" t="n"/>
    </row>
    <row r="39">
      <c r="A39" s="21" t="n"/>
      <c r="B39" s="21" t="n"/>
      <c r="C39" s="21" t="n"/>
      <c r="D39" s="21" t="n"/>
    </row>
    <row r="40">
      <c r="A40" s="21" t="n"/>
      <c r="B40" s="21" t="n"/>
      <c r="C40" s="21" t="n"/>
      <c r="D40" s="21" t="n"/>
    </row>
    <row r="41">
      <c r="A41" s="21" t="n"/>
      <c r="B41" s="21" t="n"/>
      <c r="C41" s="21" t="n"/>
      <c r="D41" s="21" t="n"/>
    </row>
    <row r="42">
      <c r="A42" s="21" t="n"/>
      <c r="B42" s="21" t="n"/>
      <c r="C42" s="21" t="n"/>
      <c r="D42" s="21" t="n"/>
    </row>
    <row r="43">
      <c r="A43" s="21" t="n"/>
      <c r="B43" s="21" t="n"/>
      <c r="C43" s="21" t="n"/>
      <c r="D43" s="21" t="n"/>
    </row>
    <row r="44">
      <c r="A44" s="21" t="n"/>
      <c r="B44" s="21" t="n"/>
      <c r="C44" s="21" t="n"/>
      <c r="D44" s="21" t="n"/>
    </row>
    <row r="45">
      <c r="A45" s="21" t="n"/>
      <c r="B45" s="21" t="n"/>
      <c r="C45" s="21" t="n"/>
      <c r="D45" s="21" t="n"/>
    </row>
    <row r="46">
      <c r="A46" s="21" t="n"/>
      <c r="B46" s="21" t="n"/>
      <c r="C46" s="21" t="n"/>
      <c r="D46" s="21" t="n"/>
    </row>
    <row r="47">
      <c r="A47" s="21" t="n"/>
      <c r="B47" s="21" t="n"/>
      <c r="C47" s="21" t="n"/>
      <c r="D47" s="21" t="n"/>
    </row>
    <row r="48">
      <c r="A48" s="21" t="n"/>
      <c r="B48" s="21" t="n"/>
      <c r="C48" s="21" t="n"/>
      <c r="D48" s="21" t="n"/>
    </row>
    <row r="49">
      <c r="A49" s="21" t="n"/>
      <c r="B49" s="21" t="n"/>
      <c r="C49" s="21" t="n"/>
      <c r="D49" s="21" t="n"/>
    </row>
    <row r="50">
      <c r="A50" s="21" t="n"/>
      <c r="B50" s="21" t="n"/>
      <c r="C50" s="21" t="n"/>
      <c r="D50" s="21" t="n"/>
    </row>
    <row r="51">
      <c r="A51" s="21" t="n"/>
      <c r="B51" s="21" t="n"/>
      <c r="C51" s="21" t="n"/>
      <c r="D51" s="21" t="n"/>
    </row>
    <row r="52">
      <c r="A52" s="21" t="n"/>
      <c r="B52" s="21" t="n"/>
      <c r="C52" s="21" t="n"/>
      <c r="D52" s="21" t="n"/>
    </row>
    <row r="53">
      <c r="A53" s="21" t="n"/>
      <c r="B53" s="21" t="n"/>
      <c r="C53" s="21" t="n"/>
      <c r="D53" s="21" t="n"/>
    </row>
    <row r="54">
      <c r="A54" s="21" t="n"/>
      <c r="B54" s="21" t="n"/>
      <c r="C54" s="21" t="n"/>
      <c r="D54" s="21" t="n"/>
    </row>
    <row r="55">
      <c r="A55" s="21" t="n"/>
      <c r="B55" s="21" t="n"/>
      <c r="C55" s="21" t="n"/>
      <c r="D55" s="21" t="n"/>
    </row>
    <row r="56">
      <c r="A56" s="21" t="n"/>
      <c r="B56" s="21" t="n"/>
      <c r="C56" s="21" t="n"/>
      <c r="D56" s="21" t="n"/>
    </row>
    <row r="57">
      <c r="A57" s="21" t="n"/>
      <c r="B57" s="21" t="n"/>
      <c r="C57" s="21" t="n"/>
      <c r="D57" s="21" t="n"/>
    </row>
    <row r="58">
      <c r="A58" s="21" t="n"/>
      <c r="B58" s="21" t="n"/>
      <c r="C58" s="21" t="n"/>
      <c r="D58" s="21" t="n"/>
    </row>
    <row r="59">
      <c r="A59" s="21" t="n"/>
      <c r="B59" s="21" t="n"/>
      <c r="C59" s="21" t="n"/>
      <c r="D59" s="21" t="n"/>
    </row>
    <row r="60">
      <c r="A60" s="21" t="n"/>
      <c r="B60" s="21" t="n"/>
      <c r="C60" s="21" t="n"/>
      <c r="D60" s="21" t="n"/>
    </row>
    <row r="61">
      <c r="A61" s="21" t="n"/>
      <c r="B61" s="21" t="n"/>
      <c r="C61" s="21" t="n"/>
      <c r="D61" s="21" t="n"/>
    </row>
    <row r="62">
      <c r="A62" s="21" t="n"/>
      <c r="B62" s="21" t="n"/>
      <c r="C62" s="21" t="n"/>
      <c r="D62" s="21" t="n"/>
    </row>
    <row r="63">
      <c r="A63" s="21" t="n"/>
      <c r="B63" s="21" t="n"/>
      <c r="C63" s="21" t="n"/>
      <c r="D63" s="21" t="n"/>
    </row>
    <row r="64">
      <c r="A64" s="21" t="n"/>
      <c r="B64" s="21" t="n"/>
      <c r="C64" s="21" t="n"/>
      <c r="D64" s="21" t="n"/>
    </row>
    <row r="65">
      <c r="A65" s="21" t="n"/>
      <c r="B65" s="21" t="n"/>
      <c r="C65" s="21" t="n"/>
      <c r="D65" s="21" t="n"/>
    </row>
    <row r="66">
      <c r="A66" s="21" t="n"/>
      <c r="B66" s="21" t="n"/>
      <c r="C66" s="21" t="n"/>
      <c r="D66" s="21" t="n"/>
    </row>
    <row r="67">
      <c r="A67" s="21" t="n"/>
      <c r="B67" s="21" t="n"/>
      <c r="C67" s="21" t="n"/>
      <c r="D67" s="21" t="n"/>
    </row>
    <row r="68">
      <c r="A68" s="21" t="n"/>
      <c r="B68" s="21" t="n"/>
      <c r="C68" s="21" t="n"/>
      <c r="D68" s="21" t="n"/>
    </row>
    <row r="69">
      <c r="A69" s="21" t="n"/>
      <c r="B69" s="21" t="n"/>
      <c r="C69" s="21" t="n"/>
      <c r="D69" s="21" t="n"/>
    </row>
    <row r="70">
      <c r="A70" s="21" t="n"/>
      <c r="B70" s="21" t="n"/>
      <c r="C70" s="21" t="n"/>
      <c r="D70" s="21" t="n"/>
    </row>
    <row r="71">
      <c r="A71" s="21" t="n"/>
      <c r="B71" s="21" t="n"/>
      <c r="C71" s="21" t="n"/>
      <c r="D71" s="21" t="n"/>
    </row>
    <row r="72">
      <c r="A72" s="21" t="n"/>
      <c r="B72" s="21" t="n"/>
      <c r="C72" s="21" t="n"/>
      <c r="D72" s="21" t="n"/>
    </row>
    <row r="73">
      <c r="A73" s="21" t="n"/>
      <c r="B73" s="21" t="n"/>
      <c r="C73" s="21" t="n"/>
      <c r="D73" s="21" t="n"/>
    </row>
    <row r="74">
      <c r="A74" s="21" t="n"/>
      <c r="B74" s="21" t="n"/>
      <c r="C74" s="21" t="n"/>
      <c r="D74" s="21" t="n"/>
    </row>
    <row r="75">
      <c r="A75" s="21" t="n"/>
      <c r="B75" s="21" t="n"/>
      <c r="C75" s="21" t="n"/>
      <c r="D75" s="21" t="n"/>
    </row>
    <row r="76">
      <c r="A76" s="21" t="n"/>
      <c r="B76" s="21" t="n"/>
      <c r="C76" s="21" t="n"/>
      <c r="D76" s="21" t="n"/>
    </row>
    <row r="77">
      <c r="A77" s="21" t="n"/>
      <c r="B77" s="21" t="n"/>
      <c r="C77" s="21" t="n"/>
      <c r="D77" s="21" t="n"/>
    </row>
    <row r="78">
      <c r="A78" s="21" t="n"/>
      <c r="B78" s="21" t="n"/>
      <c r="C78" s="21" t="n"/>
      <c r="D78" s="21" t="n"/>
    </row>
    <row r="79">
      <c r="A79" s="21" t="n"/>
      <c r="B79" s="21" t="n"/>
      <c r="C79" s="21" t="n"/>
      <c r="D79" s="21" t="n"/>
    </row>
    <row r="80">
      <c r="A80" s="21" t="n"/>
      <c r="B80" s="21" t="n"/>
      <c r="C80" s="21" t="n"/>
      <c r="D80" s="21" t="n"/>
    </row>
    <row r="81">
      <c r="A81" s="21" t="n"/>
      <c r="B81" s="21" t="n"/>
      <c r="C81" s="21" t="n"/>
      <c r="D81" s="21" t="n"/>
    </row>
    <row r="82">
      <c r="A82" s="21" t="n"/>
      <c r="B82" s="21" t="n"/>
      <c r="C82" s="21" t="n"/>
      <c r="D82" s="21" t="n"/>
    </row>
    <row r="83">
      <c r="A83" s="21" t="n"/>
      <c r="B83" s="21" t="n"/>
      <c r="C83" s="21" t="n"/>
      <c r="D83" s="21" t="n"/>
    </row>
    <row r="84">
      <c r="A84" s="21" t="n"/>
      <c r="B84" s="21" t="n"/>
      <c r="C84" s="21" t="n"/>
      <c r="D84" s="21" t="n"/>
    </row>
    <row r="85">
      <c r="A85" s="21" t="n"/>
      <c r="B85" s="21" t="n"/>
      <c r="C85" s="21" t="n"/>
      <c r="D85" s="21" t="n"/>
    </row>
    <row r="86">
      <c r="A86" s="21" t="n"/>
      <c r="B86" s="21" t="n"/>
      <c r="C86" s="21" t="n"/>
      <c r="D86" s="21" t="n"/>
    </row>
    <row r="87">
      <c r="A87" s="21" t="n"/>
      <c r="B87" s="21" t="n"/>
      <c r="C87" s="21" t="n"/>
      <c r="D87" s="21" t="n"/>
    </row>
    <row r="88">
      <c r="A88" s="21" t="n"/>
      <c r="B88" s="21" t="n"/>
      <c r="C88" s="21" t="n"/>
      <c r="D88" s="21" t="n"/>
    </row>
    <row r="89">
      <c r="A89" s="21" t="n"/>
      <c r="B89" s="21" t="n"/>
      <c r="C89" s="21" t="n"/>
      <c r="D89" s="21" t="n"/>
    </row>
    <row r="90">
      <c r="A90" s="21" t="n"/>
      <c r="B90" s="21" t="n"/>
      <c r="C90" s="21" t="n"/>
      <c r="D90" s="21" t="n"/>
    </row>
    <row r="91">
      <c r="A91" s="21" t="n"/>
      <c r="B91" s="21" t="n"/>
      <c r="C91" s="21" t="n"/>
      <c r="D91" s="21" t="n"/>
    </row>
    <row r="92">
      <c r="A92" s="21" t="n"/>
      <c r="B92" s="21" t="n"/>
      <c r="C92" s="21" t="n"/>
      <c r="D92" s="21" t="n"/>
    </row>
    <row r="93">
      <c r="A93" s="21" t="n"/>
      <c r="B93" s="21" t="n"/>
      <c r="C93" s="21" t="n"/>
      <c r="D93" s="21" t="n"/>
    </row>
    <row r="94">
      <c r="A94" s="21" t="n"/>
      <c r="B94" s="21" t="n"/>
      <c r="C94" s="21" t="n"/>
      <c r="D94" s="21" t="n"/>
    </row>
    <row r="95">
      <c r="A95" s="21" t="n"/>
      <c r="B95" s="21" t="n"/>
      <c r="C95" s="21" t="n"/>
      <c r="D95" s="21" t="n"/>
    </row>
    <row r="96">
      <c r="A96" s="21" t="n"/>
      <c r="B96" s="21" t="n"/>
      <c r="C96" s="21" t="n"/>
      <c r="D96" s="21" t="n"/>
    </row>
    <row r="97">
      <c r="A97" s="21" t="n"/>
      <c r="B97" s="21" t="n"/>
      <c r="C97" s="21" t="n"/>
      <c r="D97" s="21" t="n"/>
    </row>
    <row r="98">
      <c r="A98" s="21" t="n"/>
      <c r="B98" s="21" t="n"/>
      <c r="C98" s="21" t="n"/>
      <c r="D98" s="21" t="n"/>
    </row>
    <row r="99">
      <c r="A99" s="21" t="n"/>
      <c r="B99" s="21" t="n"/>
      <c r="C99" s="21" t="n"/>
      <c r="D99" s="21" t="n"/>
    </row>
    <row r="100">
      <c r="A100" s="21" t="n"/>
      <c r="B100" s="21" t="n"/>
      <c r="C100" s="21" t="n"/>
      <c r="D100" s="21" t="n"/>
    </row>
    <row r="101">
      <c r="A101" s="21" t="n"/>
      <c r="B101" s="21" t="n"/>
      <c r="C101" s="21" t="n"/>
      <c r="D101" s="21" t="n"/>
    </row>
    <row r="102">
      <c r="A102" s="21" t="n"/>
      <c r="B102" s="21" t="n"/>
      <c r="C102" s="21" t="n"/>
      <c r="D102" s="21" t="n"/>
    </row>
    <row r="103">
      <c r="A103" s="21" t="n"/>
      <c r="B103" s="21" t="n"/>
      <c r="C103" s="21" t="n"/>
      <c r="D103" s="21" t="n"/>
    </row>
    <row r="104">
      <c r="A104" s="21" t="n"/>
      <c r="B104" s="21" t="n"/>
      <c r="C104" s="21" t="n"/>
      <c r="D104" s="21" t="n"/>
    </row>
    <row r="105">
      <c r="A105" s="21" t="n"/>
      <c r="B105" s="21" t="n"/>
      <c r="C105" s="21" t="n"/>
      <c r="D105" s="21" t="n"/>
    </row>
    <row r="106">
      <c r="A106" s="21" t="n"/>
      <c r="B106" s="21" t="n"/>
      <c r="C106" s="21" t="n"/>
      <c r="D106" s="21" t="n"/>
    </row>
    <row r="107">
      <c r="A107" s="21" t="n"/>
      <c r="B107" s="21" t="n"/>
      <c r="C107" s="21" t="n"/>
      <c r="D107" s="21" t="n"/>
    </row>
    <row r="108">
      <c r="A108" s="21" t="n"/>
      <c r="B108" s="21" t="n"/>
      <c r="C108" s="21" t="n"/>
      <c r="D108" s="21" t="n"/>
    </row>
    <row r="109">
      <c r="A109" s="21" t="n"/>
      <c r="B109" s="21" t="n"/>
      <c r="C109" s="21" t="n"/>
      <c r="D109" s="21" t="n"/>
    </row>
    <row r="110">
      <c r="A110" s="21" t="n"/>
      <c r="B110" s="21" t="n"/>
      <c r="C110" s="21" t="n"/>
      <c r="D110" s="21" t="n"/>
    </row>
    <row r="111">
      <c r="A111" s="21" t="n"/>
      <c r="B111" s="21" t="n"/>
      <c r="C111" s="21" t="n"/>
      <c r="D111" s="21" t="n"/>
    </row>
    <row r="112">
      <c r="A112" s="21" t="n"/>
      <c r="B112" s="21" t="n"/>
      <c r="C112" s="21" t="n"/>
      <c r="D112" s="21" t="n"/>
    </row>
    <row r="113">
      <c r="A113" s="21" t="n"/>
      <c r="B113" s="21" t="n"/>
      <c r="C113" s="21" t="n"/>
      <c r="D113" s="21" t="n"/>
    </row>
    <row r="114">
      <c r="A114" s="21" t="n"/>
      <c r="B114" s="21" t="n"/>
      <c r="C114" s="21" t="n"/>
      <c r="D114" s="21" t="n"/>
    </row>
    <row r="115">
      <c r="A115" s="21" t="n"/>
      <c r="B115" s="21" t="n"/>
      <c r="C115" s="21" t="n"/>
      <c r="D115" s="21" t="n"/>
    </row>
    <row r="116">
      <c r="A116" s="21" t="n"/>
      <c r="B116" s="21" t="n"/>
      <c r="C116" s="21" t="n"/>
      <c r="D116" s="21" t="n"/>
    </row>
    <row r="117">
      <c r="A117" s="21" t="n"/>
      <c r="B117" s="21" t="n"/>
      <c r="C117" s="21" t="n"/>
      <c r="D117" s="21" t="n"/>
    </row>
    <row r="118">
      <c r="A118" s="21" t="n"/>
      <c r="B118" s="21" t="n"/>
      <c r="C118" s="21" t="n"/>
      <c r="D118" s="21" t="n"/>
    </row>
    <row r="119">
      <c r="A119" s="21" t="n"/>
      <c r="B119" s="21" t="n"/>
      <c r="C119" s="21" t="n"/>
      <c r="D119" s="21" t="n"/>
    </row>
    <row r="120">
      <c r="A120" s="21" t="n"/>
      <c r="B120" s="21" t="n"/>
      <c r="C120" s="21" t="n"/>
      <c r="D120" s="21" t="n"/>
    </row>
    <row r="121">
      <c r="A121" s="21" t="n"/>
      <c r="B121" s="21" t="n"/>
      <c r="C121" s="21" t="n"/>
      <c r="D121" s="21" t="n"/>
    </row>
    <row r="122">
      <c r="A122" s="21" t="n"/>
      <c r="B122" s="21" t="n"/>
      <c r="C122" s="21" t="n"/>
      <c r="D122" s="21" t="n"/>
    </row>
    <row r="123">
      <c r="A123" s="21" t="n"/>
      <c r="B123" s="21" t="n"/>
      <c r="C123" s="21" t="n"/>
      <c r="D123" s="21" t="n"/>
    </row>
    <row r="124">
      <c r="A124" s="21" t="n"/>
      <c r="B124" s="21" t="n"/>
      <c r="C124" s="21" t="n"/>
      <c r="D124" s="21" t="n"/>
    </row>
    <row r="125">
      <c r="A125" s="21" t="n"/>
      <c r="B125" s="21" t="n"/>
      <c r="C125" s="21" t="n"/>
      <c r="D125" s="21" t="n"/>
    </row>
    <row r="126">
      <c r="A126" s="21" t="n"/>
      <c r="B126" s="21" t="n"/>
      <c r="C126" s="21" t="n"/>
      <c r="D126" s="21" t="n"/>
    </row>
    <row r="127">
      <c r="A127" s="21" t="n"/>
      <c r="B127" s="21" t="n"/>
      <c r="C127" s="21" t="n"/>
      <c r="D127" s="21" t="n"/>
    </row>
    <row r="128">
      <c r="A128" s="21" t="n"/>
      <c r="B128" s="21" t="n"/>
      <c r="C128" s="21" t="n"/>
      <c r="D128" s="21" t="n"/>
    </row>
    <row r="129">
      <c r="A129" s="21" t="n"/>
      <c r="B129" s="21" t="n"/>
      <c r="C129" s="21" t="n"/>
      <c r="D129" s="21" t="n"/>
    </row>
    <row r="130">
      <c r="A130" s="21" t="n"/>
      <c r="B130" s="21" t="n"/>
      <c r="C130" s="21" t="n"/>
      <c r="D130" s="21" t="n"/>
    </row>
    <row r="131">
      <c r="A131" s="21" t="n"/>
      <c r="B131" s="21" t="n"/>
      <c r="C131" s="21" t="n"/>
      <c r="D131" s="21" t="n"/>
    </row>
    <row r="132">
      <c r="A132" s="21" t="n"/>
      <c r="B132" s="21" t="n"/>
      <c r="C132" s="21" t="n"/>
      <c r="D132" s="21" t="n"/>
    </row>
    <row r="133">
      <c r="A133" s="21" t="n"/>
      <c r="B133" s="21" t="n"/>
      <c r="C133" s="21" t="n"/>
      <c r="D133" s="21" t="n"/>
    </row>
    <row r="134">
      <c r="A134" s="21" t="n"/>
      <c r="B134" s="21" t="n"/>
      <c r="C134" s="21" t="n"/>
      <c r="D134" s="21" t="n"/>
    </row>
    <row r="135">
      <c r="A135" s="21" t="n"/>
      <c r="B135" s="21" t="n"/>
      <c r="C135" s="21" t="n"/>
      <c r="D135" s="21" t="n"/>
    </row>
    <row r="136">
      <c r="A136" s="21" t="n"/>
      <c r="B136" s="21" t="n"/>
      <c r="C136" s="21" t="n"/>
      <c r="D136" s="21" t="n"/>
    </row>
    <row r="137">
      <c r="A137" s="21" t="n"/>
      <c r="B137" s="21" t="n"/>
      <c r="C137" s="21" t="n"/>
      <c r="D137" s="21" t="n"/>
    </row>
    <row r="138">
      <c r="A138" s="21" t="n"/>
      <c r="B138" s="21" t="n"/>
      <c r="C138" s="21" t="n"/>
      <c r="D138" s="21" t="n"/>
    </row>
    <row r="139">
      <c r="A139" s="21" t="n"/>
      <c r="B139" s="21" t="n"/>
      <c r="C139" s="21" t="n"/>
      <c r="D139" s="21" t="n"/>
    </row>
    <row r="140">
      <c r="A140" s="21" t="n"/>
      <c r="B140" s="21" t="n"/>
      <c r="C140" s="21" t="n"/>
      <c r="D140" s="21" t="n"/>
    </row>
    <row r="141">
      <c r="A141" s="21" t="n"/>
      <c r="B141" s="21" t="n"/>
      <c r="C141" s="21" t="n"/>
      <c r="D141" s="21" t="n"/>
    </row>
    <row r="142">
      <c r="A142" s="21" t="n"/>
      <c r="B142" s="21" t="n"/>
      <c r="C142" s="21" t="n"/>
      <c r="D142" s="21" t="n"/>
    </row>
    <row r="143">
      <c r="A143" s="21" t="n"/>
      <c r="B143" s="21" t="n"/>
      <c r="C143" s="21" t="n"/>
      <c r="D143" s="21" t="n"/>
    </row>
    <row r="144">
      <c r="A144" s="21" t="n"/>
      <c r="B144" s="21" t="n"/>
      <c r="C144" s="21" t="n"/>
      <c r="D144" s="21" t="n"/>
    </row>
    <row r="145">
      <c r="A145" s="21" t="n"/>
      <c r="B145" s="21" t="n"/>
      <c r="C145" s="21" t="n"/>
      <c r="D145" s="21" t="n"/>
    </row>
    <row r="146">
      <c r="A146" s="21" t="n"/>
      <c r="B146" s="21" t="n"/>
      <c r="C146" s="21" t="n"/>
      <c r="D146" s="21" t="n"/>
    </row>
    <row r="147">
      <c r="A147" s="21" t="n"/>
      <c r="B147" s="21" t="n"/>
      <c r="C147" s="21" t="n"/>
      <c r="D147" s="21" t="n"/>
    </row>
    <row r="148">
      <c r="A148" s="21" t="n"/>
      <c r="B148" s="21" t="n"/>
      <c r="C148" s="21" t="n"/>
      <c r="D148" s="21" t="n"/>
    </row>
    <row r="149">
      <c r="A149" s="21" t="n"/>
      <c r="B149" s="21" t="n"/>
      <c r="C149" s="21" t="n"/>
      <c r="D149" s="21" t="n"/>
    </row>
    <row r="150">
      <c r="A150" s="21" t="n"/>
      <c r="B150" s="21" t="n"/>
      <c r="C150" s="21" t="n"/>
      <c r="D150" s="21" t="n"/>
    </row>
    <row r="151">
      <c r="A151" s="21" t="n"/>
      <c r="B151" s="21" t="n"/>
      <c r="C151" s="21" t="n"/>
      <c r="D151" s="21" t="n"/>
    </row>
    <row r="152">
      <c r="A152" s="21" t="n"/>
      <c r="B152" s="21" t="n"/>
      <c r="C152" s="21" t="n"/>
      <c r="D152" s="21" t="n"/>
    </row>
    <row r="153">
      <c r="A153" s="21" t="n"/>
      <c r="B153" s="21" t="n"/>
      <c r="C153" s="21" t="n"/>
      <c r="D153" s="21" t="n"/>
    </row>
    <row r="154">
      <c r="A154" s="21" t="n"/>
      <c r="B154" s="21" t="n"/>
      <c r="C154" s="21" t="n"/>
      <c r="D154" s="21" t="n"/>
    </row>
    <row r="155">
      <c r="A155" s="21" t="n"/>
      <c r="B155" s="21" t="n"/>
      <c r="C155" s="21" t="n"/>
      <c r="D155" s="21" t="n"/>
    </row>
    <row r="156">
      <c r="A156" s="21" t="n"/>
      <c r="B156" s="21" t="n"/>
      <c r="C156" s="21" t="n"/>
      <c r="D156" s="21" t="n"/>
    </row>
    <row r="157">
      <c r="A157" s="21" t="n"/>
      <c r="B157" s="21" t="n"/>
      <c r="C157" s="21" t="n"/>
      <c r="D157" s="21" t="n"/>
    </row>
    <row r="158">
      <c r="A158" s="21" t="n"/>
      <c r="B158" s="21" t="n"/>
      <c r="C158" s="21" t="n"/>
      <c r="D158" s="21" t="n"/>
    </row>
    <row r="159">
      <c r="A159" s="21" t="n"/>
      <c r="B159" s="21" t="n"/>
      <c r="C159" s="21" t="n"/>
      <c r="D159" s="21" t="n"/>
    </row>
    <row r="160">
      <c r="A160" s="21" t="n"/>
      <c r="B160" s="21" t="n"/>
      <c r="C160" s="21" t="n"/>
      <c r="D160" s="21" t="n"/>
    </row>
    <row r="161">
      <c r="A161" s="21" t="n"/>
      <c r="B161" s="21" t="n"/>
      <c r="C161" s="21" t="n"/>
      <c r="D161" s="21" t="n"/>
    </row>
    <row r="162">
      <c r="A162" s="21" t="n"/>
      <c r="B162" s="21" t="n"/>
      <c r="C162" s="21" t="n"/>
      <c r="D162" s="21" t="n"/>
    </row>
    <row r="163">
      <c r="A163" s="21" t="n"/>
      <c r="B163" s="21" t="n"/>
      <c r="C163" s="21" t="n"/>
      <c r="D163" s="21" t="n"/>
    </row>
    <row r="164">
      <c r="A164" s="21" t="n"/>
      <c r="B164" s="21" t="n"/>
      <c r="C164" s="21" t="n"/>
      <c r="D164" s="21" t="n"/>
    </row>
    <row r="165">
      <c r="A165" s="21" t="n"/>
      <c r="B165" s="21" t="n"/>
      <c r="C165" s="21" t="n"/>
      <c r="D165" s="21" t="n"/>
    </row>
    <row r="166">
      <c r="A166" s="21" t="n"/>
      <c r="B166" s="21" t="n"/>
      <c r="C166" s="21" t="n"/>
      <c r="D166" s="21" t="n"/>
    </row>
    <row r="167">
      <c r="A167" s="21" t="n"/>
      <c r="B167" s="21" t="n"/>
      <c r="C167" s="21" t="n"/>
      <c r="D167" s="21" t="n"/>
    </row>
    <row r="168">
      <c r="A168" s="21" t="n"/>
      <c r="B168" s="21" t="n"/>
      <c r="C168" s="21" t="n"/>
      <c r="D168" s="21" t="n"/>
    </row>
    <row r="169">
      <c r="A169" s="21" t="n"/>
      <c r="B169" s="21" t="n"/>
      <c r="C169" s="21" t="n"/>
      <c r="D169" s="21" t="n"/>
    </row>
    <row r="170">
      <c r="A170" s="21" t="n"/>
      <c r="B170" s="21" t="n"/>
      <c r="C170" s="21" t="n"/>
      <c r="D170" s="21" t="n"/>
    </row>
    <row r="171">
      <c r="A171" s="21" t="n"/>
      <c r="B171" s="21" t="n"/>
      <c r="C171" s="21" t="n"/>
      <c r="D171" s="21" t="n"/>
    </row>
    <row r="172">
      <c r="A172" s="21" t="n"/>
      <c r="B172" s="21" t="n"/>
      <c r="C172" s="21" t="n"/>
      <c r="D172" s="21" t="n"/>
    </row>
    <row r="173">
      <c r="A173" s="21" t="n"/>
      <c r="B173" s="21" t="n"/>
      <c r="C173" s="21" t="n"/>
      <c r="D173" s="21" t="n"/>
    </row>
    <row r="174">
      <c r="A174" s="21" t="n"/>
      <c r="B174" s="21" t="n"/>
      <c r="C174" s="21" t="n"/>
      <c r="D174" s="21" t="n"/>
    </row>
    <row r="175">
      <c r="A175" s="21" t="n"/>
      <c r="B175" s="21" t="n"/>
      <c r="C175" s="21" t="n"/>
      <c r="D175" s="21" t="n"/>
    </row>
    <row r="176">
      <c r="A176" s="21" t="n"/>
      <c r="B176" s="21" t="n"/>
      <c r="C176" s="21" t="n"/>
      <c r="D176" s="21" t="n"/>
    </row>
    <row r="177">
      <c r="A177" s="21" t="n"/>
      <c r="B177" s="21" t="n"/>
      <c r="C177" s="21" t="n"/>
      <c r="D177" s="21" t="n"/>
    </row>
    <row r="178">
      <c r="A178" s="21" t="n"/>
      <c r="B178" s="21" t="n"/>
      <c r="C178" s="21" t="n"/>
      <c r="D178" s="21" t="n"/>
    </row>
    <row r="179">
      <c r="A179" s="21" t="n"/>
      <c r="B179" s="21" t="n"/>
      <c r="C179" s="21" t="n"/>
      <c r="D179" s="21" t="n"/>
    </row>
    <row r="180">
      <c r="A180" s="21" t="n"/>
      <c r="B180" s="21" t="n"/>
      <c r="C180" s="21" t="n"/>
      <c r="D180" s="21" t="n"/>
    </row>
    <row r="181">
      <c r="A181" s="21" t="n"/>
      <c r="B181" s="21" t="n"/>
      <c r="C181" s="21" t="n"/>
      <c r="D181" s="21" t="n"/>
    </row>
    <row r="182">
      <c r="A182" s="21" t="n"/>
      <c r="B182" s="21" t="n"/>
      <c r="C182" s="21" t="n"/>
      <c r="D182" s="21" t="n"/>
    </row>
    <row r="183">
      <c r="A183" s="21" t="n"/>
      <c r="B183" s="21" t="n"/>
      <c r="C183" s="21" t="n"/>
      <c r="D183" s="21" t="n"/>
    </row>
    <row r="184">
      <c r="A184" s="21" t="n"/>
      <c r="B184" s="21" t="n"/>
      <c r="C184" s="21" t="n"/>
      <c r="D184" s="21" t="n"/>
    </row>
    <row r="185">
      <c r="A185" s="21" t="n"/>
      <c r="B185" s="21" t="n"/>
      <c r="C185" s="21" t="n"/>
      <c r="D185" s="21" t="n"/>
    </row>
    <row r="186">
      <c r="A186" s="21" t="n"/>
      <c r="B186" s="21" t="n"/>
      <c r="C186" s="21" t="n"/>
      <c r="D186" s="21" t="n"/>
    </row>
    <row r="187">
      <c r="A187" s="21" t="n"/>
      <c r="B187" s="21" t="n"/>
      <c r="C187" s="21" t="n"/>
      <c r="D187" s="21" t="n"/>
    </row>
    <row r="188">
      <c r="A188" s="21" t="n"/>
      <c r="B188" s="21" t="n"/>
      <c r="C188" s="21" t="n"/>
      <c r="D188" s="21" t="n"/>
    </row>
    <row r="189">
      <c r="A189" s="21" t="n"/>
      <c r="B189" s="21" t="n"/>
      <c r="C189" s="21" t="n"/>
      <c r="D189" s="21" t="n"/>
    </row>
    <row r="190">
      <c r="A190" s="21" t="n"/>
      <c r="B190" s="21" t="n"/>
      <c r="C190" s="21" t="n"/>
      <c r="D190" s="21" t="n"/>
    </row>
    <row r="191">
      <c r="A191" s="21" t="n"/>
      <c r="B191" s="21" t="n"/>
      <c r="C191" s="21" t="n"/>
      <c r="D191" s="21" t="n"/>
    </row>
    <row r="192">
      <c r="A192" s="21" t="n"/>
      <c r="B192" s="21" t="n"/>
      <c r="C192" s="21" t="n"/>
      <c r="D192" s="21" t="n"/>
    </row>
    <row r="193">
      <c r="A193" s="21" t="n"/>
      <c r="B193" s="21" t="n"/>
      <c r="C193" s="21" t="n"/>
      <c r="D193" s="21" t="n"/>
    </row>
    <row r="194">
      <c r="A194" s="21" t="n"/>
      <c r="B194" s="21" t="n"/>
      <c r="C194" s="21" t="n"/>
      <c r="D194" s="21" t="n"/>
    </row>
    <row r="195">
      <c r="A195" s="21" t="n"/>
      <c r="B195" s="21" t="n"/>
      <c r="C195" s="21" t="n"/>
      <c r="D195" s="21" t="n"/>
    </row>
    <row r="196">
      <c r="A196" s="21" t="n"/>
      <c r="B196" s="21" t="n"/>
      <c r="C196" s="21" t="n"/>
      <c r="D196" s="21" t="n"/>
    </row>
    <row r="197">
      <c r="A197" s="21" t="n"/>
      <c r="B197" s="21" t="n"/>
      <c r="C197" s="21" t="n"/>
      <c r="D197" s="21" t="n"/>
    </row>
    <row r="198">
      <c r="A198" s="21" t="n"/>
      <c r="B198" s="21" t="n"/>
      <c r="C198" s="21" t="n"/>
      <c r="D198" s="21" t="n"/>
    </row>
    <row r="199">
      <c r="A199" s="21" t="n"/>
      <c r="B199" s="21" t="n"/>
      <c r="C199" s="21" t="n"/>
      <c r="D199" s="21" t="n"/>
    </row>
    <row r="200">
      <c r="A200" s="21" t="n"/>
      <c r="B200" s="21" t="n"/>
      <c r="C200" s="21" t="n"/>
      <c r="D200" s="21" t="n"/>
    </row>
    <row r="201">
      <c r="A201" s="21" t="n"/>
      <c r="B201" s="21" t="n"/>
      <c r="C201" s="21" t="n"/>
      <c r="D201" s="21" t="n"/>
    </row>
    <row r="202">
      <c r="A202" s="21" t="n"/>
      <c r="B202" s="21" t="n"/>
      <c r="C202" s="21" t="n"/>
      <c r="D202" s="21" t="n"/>
    </row>
    <row r="203">
      <c r="A203" s="21" t="n"/>
      <c r="B203" s="21" t="n"/>
      <c r="C203" s="21" t="n"/>
      <c r="D203" s="21" t="n"/>
    </row>
    <row r="204">
      <c r="A204" s="21" t="n"/>
      <c r="B204" s="21" t="n"/>
      <c r="C204" s="21" t="n"/>
      <c r="D204" s="21" t="n"/>
    </row>
    <row r="205">
      <c r="A205" s="21" t="n"/>
      <c r="B205" s="21" t="n"/>
      <c r="C205" s="21" t="n"/>
      <c r="D205" s="21" t="n"/>
    </row>
    <row r="206">
      <c r="A206" s="21" t="n"/>
      <c r="B206" s="21" t="n"/>
      <c r="C206" s="21" t="n"/>
      <c r="D206" s="21" t="n"/>
    </row>
    <row r="207">
      <c r="A207" s="21" t="n"/>
      <c r="B207" s="21" t="n"/>
      <c r="C207" s="21" t="n"/>
      <c r="D207" s="21" t="n"/>
    </row>
    <row r="208">
      <c r="A208" s="21" t="n"/>
      <c r="B208" s="21" t="n"/>
      <c r="C208" s="21" t="n"/>
      <c r="D208" s="21" t="n"/>
    </row>
    <row r="209">
      <c r="A209" s="21" t="n"/>
      <c r="B209" s="21" t="n"/>
      <c r="C209" s="21" t="n"/>
      <c r="D209" s="21" t="n"/>
    </row>
    <row r="210">
      <c r="A210" s="21" t="n"/>
      <c r="B210" s="21" t="n"/>
      <c r="C210" s="21" t="n"/>
      <c r="D210" s="21" t="n"/>
    </row>
    <row r="211">
      <c r="A211" s="21" t="n"/>
      <c r="B211" s="21" t="n"/>
      <c r="C211" s="21" t="n"/>
      <c r="D211" s="21" t="n"/>
    </row>
    <row r="212">
      <c r="A212" s="21" t="n"/>
      <c r="B212" s="21" t="n"/>
      <c r="C212" s="21" t="n"/>
      <c r="D212" s="21" t="n"/>
    </row>
    <row r="213">
      <c r="A213" s="21" t="n"/>
      <c r="B213" s="21" t="n"/>
      <c r="C213" s="21" t="n"/>
      <c r="D213" s="21" t="n"/>
    </row>
    <row r="214">
      <c r="A214" s="21" t="n"/>
      <c r="B214" s="21" t="n"/>
      <c r="C214" s="21" t="n"/>
      <c r="D214" s="21" t="n"/>
    </row>
    <row r="215">
      <c r="A215" s="21" t="n"/>
      <c r="B215" s="21" t="n"/>
      <c r="C215" s="21" t="n"/>
      <c r="D215" s="21" t="n"/>
    </row>
    <row r="216">
      <c r="A216" s="21" t="n"/>
      <c r="B216" s="21" t="n"/>
      <c r="C216" s="21" t="n"/>
      <c r="D216" s="21" t="n"/>
    </row>
    <row r="217">
      <c r="A217" s="21" t="n"/>
      <c r="B217" s="21" t="n"/>
      <c r="C217" s="21" t="n"/>
      <c r="D217" s="21" t="n"/>
    </row>
    <row r="218">
      <c r="A218" s="21" t="n"/>
      <c r="B218" s="21" t="n"/>
      <c r="C218" s="21" t="n"/>
      <c r="D218" s="21" t="n"/>
    </row>
    <row r="219">
      <c r="A219" s="21" t="n"/>
      <c r="B219" s="21" t="n"/>
      <c r="C219" s="21" t="n"/>
      <c r="D219" s="21" t="n"/>
    </row>
    <row r="220">
      <c r="A220" s="21" t="n"/>
      <c r="B220" s="21" t="n"/>
      <c r="C220" s="21" t="n"/>
      <c r="D220" s="21" t="n"/>
    </row>
    <row r="221">
      <c r="A221" s="21" t="n"/>
      <c r="B221" s="21" t="n"/>
      <c r="C221" s="21" t="n"/>
      <c r="D221" s="21" t="n"/>
    </row>
    <row r="222">
      <c r="A222" s="21" t="n"/>
      <c r="B222" s="21" t="n"/>
      <c r="C222" s="21" t="n"/>
      <c r="D222" s="21" t="n"/>
    </row>
    <row r="223">
      <c r="A223" s="21" t="n"/>
      <c r="B223" s="21" t="n"/>
      <c r="C223" s="21" t="n"/>
      <c r="D223" s="21" t="n"/>
    </row>
    <row r="224">
      <c r="A224" s="21" t="n"/>
      <c r="B224" s="21" t="n"/>
      <c r="C224" s="21" t="n"/>
      <c r="D224" s="21" t="n"/>
    </row>
    <row r="225">
      <c r="A225" s="21" t="n"/>
      <c r="B225" s="21" t="n"/>
      <c r="C225" s="21" t="n"/>
      <c r="D225" s="21" t="n"/>
    </row>
    <row r="226">
      <c r="A226" s="21" t="n"/>
      <c r="B226" s="21" t="n"/>
      <c r="C226" s="21" t="n"/>
      <c r="D226" s="21" t="n"/>
    </row>
    <row r="227">
      <c r="A227" s="21" t="n"/>
      <c r="B227" s="21" t="n"/>
      <c r="C227" s="21" t="n"/>
      <c r="D227" s="21" t="n"/>
    </row>
    <row r="228">
      <c r="A228" s="21" t="n"/>
      <c r="B228" s="21" t="n"/>
      <c r="C228" s="21" t="n"/>
      <c r="D228" s="21" t="n"/>
    </row>
    <row r="229">
      <c r="A229" s="21" t="n"/>
      <c r="B229" s="21" t="n"/>
      <c r="C229" s="21" t="n"/>
      <c r="D229" s="21" t="n"/>
    </row>
    <row r="230">
      <c r="A230" s="21" t="n"/>
      <c r="B230" s="21" t="n"/>
      <c r="C230" s="21" t="n"/>
      <c r="D230" s="21" t="n"/>
    </row>
    <row r="231">
      <c r="A231" s="21" t="n"/>
      <c r="B231" s="21" t="n"/>
      <c r="C231" s="21" t="n"/>
      <c r="D231" s="21" t="n"/>
    </row>
    <row r="232">
      <c r="A232" s="21" t="n"/>
      <c r="B232" s="21" t="n"/>
      <c r="C232" s="21" t="n"/>
      <c r="D232" s="21" t="n"/>
    </row>
    <row r="233">
      <c r="A233" s="21" t="n"/>
      <c r="B233" s="21" t="n"/>
      <c r="C233" s="21" t="n"/>
      <c r="D233" s="21" t="n"/>
    </row>
    <row r="234">
      <c r="A234" s="21" t="n"/>
      <c r="B234" s="21" t="n"/>
      <c r="C234" s="21" t="n"/>
      <c r="D234" s="21" t="n"/>
    </row>
    <row r="235">
      <c r="A235" s="21" t="n"/>
      <c r="B235" s="21" t="n"/>
      <c r="C235" s="21" t="n"/>
      <c r="D235" s="21" t="n"/>
    </row>
    <row r="236">
      <c r="A236" s="21" t="n"/>
      <c r="B236" s="21" t="n"/>
      <c r="C236" s="21" t="n"/>
      <c r="D236" s="21" t="n"/>
    </row>
    <row r="237">
      <c r="A237" s="21" t="n"/>
      <c r="B237" s="21" t="n"/>
      <c r="C237" s="21" t="n"/>
      <c r="D237" s="21" t="n"/>
    </row>
    <row r="238">
      <c r="A238" s="21" t="n"/>
      <c r="B238" s="21" t="n"/>
      <c r="C238" s="21" t="n"/>
      <c r="D238" s="21" t="n"/>
    </row>
    <row r="239">
      <c r="A239" s="21" t="n"/>
      <c r="B239" s="21" t="n"/>
      <c r="C239" s="21" t="n"/>
      <c r="D239" s="21" t="n"/>
    </row>
    <row r="240">
      <c r="A240" s="21" t="n"/>
      <c r="B240" s="21" t="n"/>
      <c r="C240" s="21" t="n"/>
      <c r="D240" s="21" t="n"/>
    </row>
    <row r="241">
      <c r="A241" s="21" t="n"/>
      <c r="B241" s="21" t="n"/>
      <c r="C241" s="21" t="n"/>
      <c r="D241" s="21" t="n"/>
    </row>
    <row r="242">
      <c r="A242" s="21" t="n"/>
      <c r="B242" s="21" t="n"/>
      <c r="C242" s="21" t="n"/>
      <c r="D242" s="21" t="n"/>
    </row>
    <row r="243">
      <c r="A243" s="21" t="n"/>
      <c r="B243" s="21" t="n"/>
      <c r="C243" s="21" t="n"/>
      <c r="D243" s="21" t="n"/>
    </row>
    <row r="244">
      <c r="A244" s="21" t="n"/>
      <c r="B244" s="21" t="n"/>
      <c r="C244" s="21" t="n"/>
      <c r="D244" s="21" t="n"/>
    </row>
    <row r="245">
      <c r="A245" s="21" t="n"/>
      <c r="B245" s="21" t="n"/>
      <c r="C245" s="21" t="n"/>
      <c r="D245" s="21" t="n"/>
    </row>
    <row r="246">
      <c r="A246" s="21" t="n"/>
      <c r="B246" s="21" t="n"/>
      <c r="C246" s="21" t="n"/>
      <c r="D246" s="21" t="n"/>
    </row>
    <row r="247">
      <c r="A247" s="21" t="n"/>
      <c r="B247" s="21" t="n"/>
      <c r="C247" s="21" t="n"/>
      <c r="D247" s="21" t="n"/>
    </row>
    <row r="248">
      <c r="A248" s="21" t="n"/>
      <c r="B248" s="21" t="n"/>
      <c r="C248" s="21" t="n"/>
      <c r="D248" s="21" t="n"/>
    </row>
    <row r="249">
      <c r="A249" s="21" t="n"/>
      <c r="B249" s="21" t="n"/>
      <c r="C249" s="21" t="n"/>
      <c r="D249" s="21" t="n"/>
    </row>
    <row r="250">
      <c r="A250" s="21" t="n"/>
      <c r="B250" s="21" t="n"/>
      <c r="C250" s="21" t="n"/>
      <c r="D250" s="21" t="n"/>
    </row>
    <row r="251">
      <c r="A251" s="21" t="n"/>
      <c r="B251" s="21" t="n"/>
      <c r="C251" s="21" t="n"/>
      <c r="D251" s="21" t="n"/>
    </row>
    <row r="252">
      <c r="A252" s="21" t="n"/>
      <c r="B252" s="21" t="n"/>
      <c r="C252" s="21" t="n"/>
      <c r="D252" s="21" t="n"/>
    </row>
    <row r="253">
      <c r="A253" s="21" t="n"/>
      <c r="B253" s="21" t="n"/>
      <c r="C253" s="21" t="n"/>
      <c r="D253" s="21" t="n"/>
    </row>
    <row r="254">
      <c r="A254" s="21" t="n"/>
      <c r="B254" s="21" t="n"/>
      <c r="C254" s="21" t="n"/>
      <c r="D254" s="21" t="n"/>
    </row>
    <row r="255">
      <c r="A255" s="21" t="n"/>
      <c r="B255" s="21" t="n"/>
      <c r="C255" s="21" t="n"/>
      <c r="D255" s="21" t="n"/>
    </row>
    <row r="256">
      <c r="A256" s="21" t="n"/>
      <c r="B256" s="21" t="n"/>
      <c r="C256" s="21" t="n"/>
      <c r="D256" s="21" t="n"/>
    </row>
    <row r="257">
      <c r="A257" s="21" t="n"/>
      <c r="B257" s="21" t="n"/>
      <c r="C257" s="21" t="n"/>
      <c r="D257" s="21" t="n"/>
    </row>
    <row r="258">
      <c r="A258" s="21" t="n"/>
      <c r="B258" s="21" t="n"/>
      <c r="C258" s="21" t="n"/>
      <c r="D258" s="21" t="n"/>
    </row>
    <row r="259">
      <c r="A259" s="21" t="n"/>
      <c r="B259" s="21" t="n"/>
      <c r="C259" s="21" t="n"/>
      <c r="D259" s="21" t="n"/>
    </row>
    <row r="260">
      <c r="A260" s="21" t="n"/>
      <c r="B260" s="21" t="n"/>
      <c r="C260" s="21" t="n"/>
      <c r="D260" s="21" t="n"/>
    </row>
    <row r="261">
      <c r="A261" s="21" t="n"/>
      <c r="B261" s="21" t="n"/>
      <c r="C261" s="21" t="n"/>
      <c r="D261" s="21" t="n"/>
    </row>
    <row r="262">
      <c r="A262" s="21" t="n"/>
      <c r="B262" s="21" t="n"/>
      <c r="C262" s="21" t="n"/>
      <c r="D262" s="21" t="n"/>
    </row>
    <row r="263">
      <c r="A263" s="21" t="n"/>
      <c r="B263" s="21" t="n"/>
      <c r="C263" s="21" t="n"/>
      <c r="D263" s="21" t="n"/>
    </row>
    <row r="264">
      <c r="A264" s="21" t="n"/>
      <c r="B264" s="21" t="n"/>
      <c r="C264" s="21" t="n"/>
      <c r="D264" s="21" t="n"/>
    </row>
    <row r="265">
      <c r="A265" s="21" t="n"/>
      <c r="B265" s="21" t="n"/>
      <c r="C265" s="21" t="n"/>
      <c r="D265" s="21" t="n"/>
    </row>
    <row r="266">
      <c r="A266" s="21" t="n"/>
      <c r="B266" s="21" t="n"/>
      <c r="C266" s="21" t="n"/>
      <c r="D266" s="21" t="n"/>
    </row>
    <row r="267">
      <c r="A267" s="21" t="n"/>
      <c r="B267" s="21" t="n"/>
      <c r="C267" s="21" t="n"/>
      <c r="D267" s="21" t="n"/>
    </row>
    <row r="268">
      <c r="A268" s="21" t="n"/>
      <c r="B268" s="21" t="n"/>
      <c r="C268" s="21" t="n"/>
      <c r="D268" s="21" t="n"/>
    </row>
    <row r="269">
      <c r="A269" s="21" t="n"/>
      <c r="B269" s="21" t="n"/>
      <c r="C269" s="21" t="n"/>
      <c r="D269" s="21" t="n"/>
    </row>
    <row r="270">
      <c r="A270" s="21" t="n"/>
      <c r="B270" s="21" t="n"/>
      <c r="C270" s="21" t="n"/>
      <c r="D270" s="21" t="n"/>
    </row>
    <row r="271">
      <c r="A271" s="21" t="n"/>
      <c r="B271" s="21" t="n"/>
      <c r="C271" s="21" t="n"/>
      <c r="D271" s="21" t="n"/>
    </row>
    <row r="272">
      <c r="A272" s="21" t="n"/>
      <c r="B272" s="21" t="n"/>
      <c r="C272" s="21" t="n"/>
      <c r="D272" s="21" t="n"/>
    </row>
    <row r="273">
      <c r="A273" s="21" t="n"/>
      <c r="B273" s="21" t="n"/>
      <c r="C273" s="21" t="n"/>
      <c r="D273" s="21" t="n"/>
    </row>
    <row r="274">
      <c r="A274" s="21" t="n"/>
      <c r="B274" s="21" t="n"/>
      <c r="C274" s="21" t="n"/>
      <c r="D274" s="21" t="n"/>
    </row>
    <row r="275">
      <c r="A275" s="21" t="n"/>
      <c r="B275" s="21" t="n"/>
      <c r="C275" s="21" t="n"/>
      <c r="D275" s="21" t="n"/>
    </row>
    <row r="276">
      <c r="A276" s="21" t="n"/>
      <c r="B276" s="21" t="n"/>
      <c r="C276" s="21" t="n"/>
      <c r="D276" s="21" t="n"/>
    </row>
    <row r="277">
      <c r="A277" s="21" t="n"/>
      <c r="B277" s="21" t="n"/>
      <c r="C277" s="21" t="n"/>
      <c r="D277" s="21" t="n"/>
    </row>
    <row r="278">
      <c r="A278" s="21" t="n"/>
      <c r="B278" s="21" t="n"/>
      <c r="C278" s="21" t="n"/>
      <c r="D278" s="21" t="n"/>
    </row>
    <row r="279">
      <c r="A279" s="21" t="n"/>
      <c r="B279" s="21" t="n"/>
      <c r="C279" s="21" t="n"/>
      <c r="D279" s="21" t="n"/>
    </row>
    <row r="280">
      <c r="A280" s="21" t="n"/>
      <c r="B280" s="21" t="n"/>
      <c r="C280" s="21" t="n"/>
      <c r="D280" s="21" t="n"/>
    </row>
    <row r="281">
      <c r="A281" s="21" t="n"/>
      <c r="B281" s="21" t="n"/>
      <c r="C281" s="21" t="n"/>
      <c r="D281" s="21" t="n"/>
    </row>
    <row r="282">
      <c r="A282" s="21" t="n"/>
      <c r="B282" s="21" t="n"/>
      <c r="C282" s="21" t="n"/>
      <c r="D282" s="21" t="n"/>
    </row>
    <row r="283">
      <c r="A283" s="21" t="n"/>
      <c r="B283" s="21" t="n"/>
      <c r="C283" s="21" t="n"/>
      <c r="D283" s="21" t="n"/>
    </row>
    <row r="284">
      <c r="A284" s="21" t="n"/>
      <c r="B284" s="21" t="n"/>
      <c r="C284" s="21" t="n"/>
      <c r="D284" s="21" t="n"/>
    </row>
    <row r="285">
      <c r="A285" s="21" t="n"/>
      <c r="B285" s="21" t="n"/>
      <c r="C285" s="21" t="n"/>
      <c r="D285" s="21" t="n"/>
    </row>
    <row r="286">
      <c r="A286" s="21" t="n"/>
      <c r="B286" s="21" t="n"/>
      <c r="C286" s="21" t="n"/>
      <c r="D286" s="21" t="n"/>
    </row>
    <row r="287">
      <c r="A287" s="21" t="n"/>
      <c r="B287" s="21" t="n"/>
      <c r="C287" s="21" t="n"/>
      <c r="D287" s="21" t="n"/>
    </row>
    <row r="288">
      <c r="A288" s="21" t="n"/>
      <c r="B288" s="21" t="n"/>
      <c r="C288" s="21" t="n"/>
      <c r="D288" s="21" t="n"/>
    </row>
    <row r="289">
      <c r="A289" s="21" t="n"/>
      <c r="B289" s="21" t="n"/>
      <c r="C289" s="21" t="n"/>
      <c r="D289" s="21" t="n"/>
    </row>
    <row r="290">
      <c r="A290" s="21" t="n"/>
      <c r="B290" s="21" t="n"/>
      <c r="C290" s="21" t="n"/>
      <c r="D290" s="21" t="n"/>
    </row>
    <row r="291">
      <c r="A291" s="21" t="n"/>
      <c r="B291" s="21" t="n"/>
      <c r="C291" s="21" t="n"/>
      <c r="D291" s="21" t="n"/>
    </row>
    <row r="292">
      <c r="A292" s="21" t="n"/>
      <c r="B292" s="21" t="n"/>
      <c r="C292" s="21" t="n"/>
      <c r="D292" s="21" t="n"/>
    </row>
    <row r="293">
      <c r="A293" s="21" t="n"/>
      <c r="B293" s="21" t="n"/>
      <c r="C293" s="21" t="n"/>
      <c r="D293" s="21" t="n"/>
    </row>
    <row r="294">
      <c r="A294" s="21" t="n"/>
      <c r="B294" s="21" t="n"/>
      <c r="C294" s="21" t="n"/>
      <c r="D294" s="21" t="n"/>
    </row>
    <row r="295">
      <c r="A295" s="21" t="n"/>
      <c r="B295" s="21" t="n"/>
      <c r="C295" s="21" t="n"/>
      <c r="D295" s="21" t="n"/>
    </row>
    <row r="296">
      <c r="A296" s="21" t="n"/>
      <c r="B296" s="21" t="n"/>
      <c r="C296" s="21" t="n"/>
      <c r="D296" s="21" t="n"/>
    </row>
    <row r="297">
      <c r="A297" s="21" t="n"/>
      <c r="B297" s="21" t="n"/>
      <c r="C297" s="21" t="n"/>
      <c r="D297" s="21" t="n"/>
    </row>
    <row r="298">
      <c r="A298" s="21" t="n"/>
      <c r="B298" s="21" t="n"/>
      <c r="C298" s="21" t="n"/>
      <c r="D298" s="21" t="n"/>
    </row>
    <row r="299">
      <c r="A299" s="21" t="n"/>
      <c r="B299" s="21" t="n"/>
      <c r="C299" s="21" t="n"/>
      <c r="D299" s="21" t="n"/>
    </row>
    <row r="300">
      <c r="A300" s="21" t="n"/>
      <c r="B300" s="21" t="n"/>
      <c r="C300" s="21" t="n"/>
      <c r="D300" s="21" t="n"/>
    </row>
    <row r="301">
      <c r="A301" s="21" t="n"/>
      <c r="B301" s="21" t="n"/>
      <c r="C301" s="21" t="n"/>
      <c r="D301" s="21" t="n"/>
    </row>
    <row r="302">
      <c r="A302" s="21" t="n"/>
      <c r="B302" s="21" t="n"/>
      <c r="C302" s="21" t="n"/>
      <c r="D302" s="21" t="n"/>
    </row>
    <row r="303">
      <c r="A303" s="21" t="n"/>
      <c r="B303" s="21" t="n"/>
      <c r="C303" s="21" t="n"/>
      <c r="D303" s="21" t="n"/>
    </row>
    <row r="304">
      <c r="A304" s="21" t="n"/>
      <c r="B304" s="21" t="n"/>
      <c r="C304" s="21" t="n"/>
      <c r="D304" s="21" t="n"/>
    </row>
  </sheetData>
  <mergeCells count="2">
    <mergeCell ref="A1:D1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6B86"/>
    <outlinePr summaryBelow="1" summaryRight="1"/>
    <pageSetUpPr/>
  </sheetPr>
  <dimension ref="A1:D3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6" customWidth="1" min="4" max="4"/>
  </cols>
  <sheetData>
    <row r="1" ht="34" customHeight="1">
      <c r="A1" s="1" t="inlineStr">
        <is>
          <t>Setup  -  Materials</t>
        </is>
      </c>
      <c r="B1" s="2" t="n"/>
      <c r="C1" s="2" t="n"/>
      <c r="D1" s="2" t="n"/>
    </row>
    <row r="2" ht="18" customHeight="1">
      <c r="A2" s="3" t="inlineStr">
        <is>
          <t>Raw material master with opening stock &amp; purchase rate. Drives the Stock Register.</t>
        </is>
      </c>
      <c r="B2" s="2" t="n"/>
      <c r="C2" s="2" t="n"/>
      <c r="D2" s="2" t="n"/>
    </row>
    <row r="4" ht="30" customHeight="1">
      <c r="A4" s="17" t="inlineStr">
        <is>
          <t>Material</t>
        </is>
      </c>
      <c r="B4" s="17" t="inlineStr">
        <is>
          <t>Unit</t>
        </is>
      </c>
      <c r="C4" s="17" t="inlineStr">
        <is>
          <t>Opening Stock</t>
        </is>
      </c>
      <c r="D4" s="17" t="inlineStr">
        <is>
          <t>Purchase Rate (₹/unit)</t>
        </is>
      </c>
    </row>
    <row r="5">
      <c r="A5" s="21" t="inlineStr">
        <is>
          <t>Cement</t>
        </is>
      </c>
      <c r="B5" s="21" t="inlineStr">
        <is>
          <t>kg</t>
        </is>
      </c>
      <c r="C5" s="22" t="n">
        <v>50000</v>
      </c>
      <c r="D5" s="24" t="n">
        <v>7.5</v>
      </c>
    </row>
    <row r="6">
      <c r="A6" s="21" t="inlineStr">
        <is>
          <t>Sand</t>
        </is>
      </c>
      <c r="B6" s="21" t="inlineStr">
        <is>
          <t>kg</t>
        </is>
      </c>
      <c r="C6" s="22" t="n">
        <v>120000</v>
      </c>
      <c r="D6" s="24" t="n">
        <v>1.2</v>
      </c>
    </row>
    <row r="7">
      <c r="A7" s="21" t="inlineStr">
        <is>
          <t>Aggregate 20mm</t>
        </is>
      </c>
      <c r="B7" s="21" t="inlineStr">
        <is>
          <t>kg</t>
        </is>
      </c>
      <c r="C7" s="22" t="n">
        <v>150000</v>
      </c>
      <c r="D7" s="24" t="n">
        <v>1</v>
      </c>
    </row>
    <row r="8">
      <c r="A8" s="21" t="inlineStr">
        <is>
          <t>Aggregate 10mm</t>
        </is>
      </c>
      <c r="B8" s="21" t="inlineStr">
        <is>
          <t>kg</t>
        </is>
      </c>
      <c r="C8" s="22" t="n">
        <v>90000</v>
      </c>
      <c r="D8" s="24" t="n">
        <v>1.1</v>
      </c>
    </row>
    <row r="9">
      <c r="A9" s="21" t="inlineStr">
        <is>
          <t>Admixture</t>
        </is>
      </c>
      <c r="B9" s="21" t="inlineStr">
        <is>
          <t>kg</t>
        </is>
      </c>
      <c r="C9" s="22" t="n">
        <v>800</v>
      </c>
      <c r="D9" s="24" t="n">
        <v>95</v>
      </c>
    </row>
    <row r="10">
      <c r="A10" s="21" t="inlineStr">
        <is>
          <t>Diesel</t>
        </is>
      </c>
      <c r="B10" s="21" t="inlineStr">
        <is>
          <t>ltr</t>
        </is>
      </c>
      <c r="C10" s="22" t="n">
        <v>2000</v>
      </c>
      <c r="D10" s="24" t="n">
        <v>92</v>
      </c>
    </row>
    <row r="11">
      <c r="A11" s="21" t="n"/>
      <c r="B11" s="21" t="n"/>
      <c r="C11" s="22" t="n"/>
      <c r="D11" s="24" t="n"/>
    </row>
    <row r="12">
      <c r="A12" s="21" t="n"/>
      <c r="B12" s="21" t="n"/>
      <c r="C12" s="22" t="n"/>
      <c r="D12" s="24" t="n"/>
    </row>
    <row r="13">
      <c r="A13" s="21" t="n"/>
      <c r="B13" s="21" t="n"/>
      <c r="C13" s="22" t="n"/>
      <c r="D13" s="24" t="n"/>
    </row>
    <row r="14">
      <c r="A14" s="21" t="n"/>
      <c r="B14" s="21" t="n"/>
      <c r="C14" s="22" t="n"/>
      <c r="D14" s="24" t="n"/>
    </row>
    <row r="15">
      <c r="A15" s="21" t="n"/>
      <c r="B15" s="21" t="n"/>
      <c r="C15" s="22" t="n"/>
      <c r="D15" s="24" t="n"/>
    </row>
    <row r="16">
      <c r="A16" s="21" t="n"/>
      <c r="B16" s="21" t="n"/>
      <c r="C16" s="22" t="n"/>
      <c r="D16" s="24" t="n"/>
    </row>
    <row r="17">
      <c r="A17" s="21" t="n"/>
      <c r="B17" s="21" t="n"/>
      <c r="C17" s="22" t="n"/>
      <c r="D17" s="24" t="n"/>
    </row>
    <row r="18">
      <c r="A18" s="21" t="n"/>
      <c r="B18" s="21" t="n"/>
      <c r="C18" s="22" t="n"/>
      <c r="D18" s="24" t="n"/>
    </row>
    <row r="19">
      <c r="A19" s="21" t="n"/>
      <c r="B19" s="21" t="n"/>
      <c r="C19" s="22" t="n"/>
      <c r="D19" s="24" t="n"/>
    </row>
    <row r="20">
      <c r="A20" s="21" t="n"/>
      <c r="B20" s="21" t="n"/>
      <c r="C20" s="22" t="n"/>
      <c r="D20" s="24" t="n"/>
    </row>
    <row r="21">
      <c r="A21" s="21" t="n"/>
      <c r="B21" s="21" t="n"/>
      <c r="C21" s="22" t="n"/>
      <c r="D21" s="24" t="n"/>
    </row>
    <row r="22">
      <c r="A22" s="21" t="n"/>
      <c r="B22" s="21" t="n"/>
      <c r="C22" s="22" t="n"/>
      <c r="D22" s="24" t="n"/>
    </row>
    <row r="23">
      <c r="A23" s="21" t="n"/>
      <c r="B23" s="21" t="n"/>
      <c r="C23" s="22" t="n"/>
      <c r="D23" s="24" t="n"/>
    </row>
    <row r="24">
      <c r="A24" s="21" t="n"/>
      <c r="B24" s="21" t="n"/>
      <c r="C24" s="22" t="n"/>
      <c r="D24" s="24" t="n"/>
    </row>
    <row r="25">
      <c r="A25" s="21" t="n"/>
      <c r="B25" s="21" t="n"/>
      <c r="C25" s="22" t="n"/>
      <c r="D25" s="24" t="n"/>
    </row>
    <row r="26">
      <c r="A26" s="21" t="n"/>
      <c r="B26" s="21" t="n"/>
      <c r="C26" s="22" t="n"/>
      <c r="D26" s="24" t="n"/>
    </row>
    <row r="27">
      <c r="A27" s="21" t="n"/>
      <c r="B27" s="21" t="n"/>
      <c r="C27" s="22" t="n"/>
      <c r="D27" s="24" t="n"/>
    </row>
    <row r="28">
      <c r="A28" s="21" t="n"/>
      <c r="B28" s="21" t="n"/>
      <c r="C28" s="22" t="n"/>
      <c r="D28" s="24" t="n"/>
    </row>
    <row r="29">
      <c r="A29" s="21" t="n"/>
      <c r="B29" s="21" t="n"/>
      <c r="C29" s="22" t="n"/>
      <c r="D29" s="24" t="n"/>
    </row>
    <row r="30">
      <c r="A30" s="21" t="n"/>
      <c r="B30" s="21" t="n"/>
      <c r="C30" s="22" t="n"/>
      <c r="D30" s="24" t="n"/>
    </row>
    <row r="31">
      <c r="A31" s="21" t="n"/>
      <c r="B31" s="21" t="n"/>
      <c r="C31" s="22" t="n"/>
      <c r="D31" s="24" t="n"/>
    </row>
    <row r="32">
      <c r="A32" s="21" t="n"/>
      <c r="B32" s="21" t="n"/>
      <c r="C32" s="22" t="n"/>
      <c r="D32" s="24" t="n"/>
    </row>
    <row r="33">
      <c r="A33" s="21" t="n"/>
      <c r="B33" s="21" t="n"/>
      <c r="C33" s="22" t="n"/>
      <c r="D33" s="24" t="n"/>
    </row>
    <row r="34">
      <c r="A34" s="21" t="n"/>
      <c r="B34" s="21" t="n"/>
      <c r="C34" s="22" t="n"/>
      <c r="D34" s="24" t="n"/>
    </row>
    <row r="35">
      <c r="A35" s="21" t="n"/>
      <c r="B35" s="21" t="n"/>
      <c r="C35" s="22" t="n"/>
      <c r="D35" s="24" t="n"/>
    </row>
    <row r="36">
      <c r="A36" s="21" t="n"/>
      <c r="B36" s="21" t="n"/>
      <c r="C36" s="22" t="n"/>
      <c r="D36" s="24" t="n"/>
    </row>
    <row r="37">
      <c r="A37" s="21" t="n"/>
      <c r="B37" s="21" t="n"/>
      <c r="C37" s="22" t="n"/>
      <c r="D37" s="24" t="n"/>
    </row>
    <row r="38">
      <c r="A38" s="21" t="n"/>
      <c r="B38" s="21" t="n"/>
      <c r="C38" s="22" t="n"/>
      <c r="D38" s="24" t="n"/>
    </row>
    <row r="39">
      <c r="A39" s="21" t="n"/>
      <c r="B39" s="21" t="n"/>
      <c r="C39" s="22" t="n"/>
      <c r="D39" s="24" t="n"/>
    </row>
    <row r="40">
      <c r="A40" s="21" t="n"/>
      <c r="B40" s="21" t="n"/>
      <c r="C40" s="22" t="n"/>
      <c r="D40" s="24" t="n"/>
    </row>
    <row r="41">
      <c r="A41" s="21" t="n"/>
      <c r="B41" s="21" t="n"/>
      <c r="C41" s="22" t="n"/>
      <c r="D41" s="24" t="n"/>
    </row>
    <row r="42">
      <c r="A42" s="21" t="n"/>
      <c r="B42" s="21" t="n"/>
      <c r="C42" s="22" t="n"/>
      <c r="D42" s="24" t="n"/>
    </row>
    <row r="43">
      <c r="A43" s="21" t="n"/>
      <c r="B43" s="21" t="n"/>
      <c r="C43" s="22" t="n"/>
      <c r="D43" s="24" t="n"/>
    </row>
    <row r="44">
      <c r="A44" s="21" t="n"/>
      <c r="B44" s="21" t="n"/>
      <c r="C44" s="22" t="n"/>
      <c r="D44" s="24" t="n"/>
    </row>
    <row r="45">
      <c r="A45" s="21" t="n"/>
      <c r="B45" s="21" t="n"/>
      <c r="C45" s="22" t="n"/>
      <c r="D45" s="24" t="n"/>
    </row>
    <row r="46">
      <c r="A46" s="21" t="n"/>
      <c r="B46" s="21" t="n"/>
      <c r="C46" s="22" t="n"/>
      <c r="D46" s="24" t="n"/>
    </row>
    <row r="47">
      <c r="A47" s="21" t="n"/>
      <c r="B47" s="21" t="n"/>
      <c r="C47" s="22" t="n"/>
      <c r="D47" s="24" t="n"/>
    </row>
    <row r="48">
      <c r="A48" s="21" t="n"/>
      <c r="B48" s="21" t="n"/>
      <c r="C48" s="22" t="n"/>
      <c r="D48" s="24" t="n"/>
    </row>
    <row r="49">
      <c r="A49" s="21" t="n"/>
      <c r="B49" s="21" t="n"/>
      <c r="C49" s="22" t="n"/>
      <c r="D49" s="24" t="n"/>
    </row>
    <row r="50">
      <c r="A50" s="21" t="n"/>
      <c r="B50" s="21" t="n"/>
      <c r="C50" s="22" t="n"/>
      <c r="D50" s="24" t="n"/>
    </row>
    <row r="51">
      <c r="A51" s="21" t="n"/>
      <c r="B51" s="21" t="n"/>
      <c r="C51" s="22" t="n"/>
      <c r="D51" s="24" t="n"/>
    </row>
    <row r="52">
      <c r="A52" s="21" t="n"/>
      <c r="B52" s="21" t="n"/>
      <c r="C52" s="22" t="n"/>
      <c r="D52" s="24" t="n"/>
    </row>
    <row r="53">
      <c r="A53" s="21" t="n"/>
      <c r="B53" s="21" t="n"/>
      <c r="C53" s="22" t="n"/>
      <c r="D53" s="24" t="n"/>
    </row>
    <row r="54">
      <c r="A54" s="21" t="n"/>
      <c r="B54" s="21" t="n"/>
      <c r="C54" s="22" t="n"/>
      <c r="D54" s="24" t="n"/>
    </row>
    <row r="55">
      <c r="A55" s="21" t="n"/>
      <c r="B55" s="21" t="n"/>
      <c r="C55" s="22" t="n"/>
      <c r="D55" s="24" t="n"/>
    </row>
    <row r="56">
      <c r="A56" s="21" t="n"/>
      <c r="B56" s="21" t="n"/>
      <c r="C56" s="22" t="n"/>
      <c r="D56" s="24" t="n"/>
    </row>
    <row r="57">
      <c r="A57" s="21" t="n"/>
      <c r="B57" s="21" t="n"/>
      <c r="C57" s="22" t="n"/>
      <c r="D57" s="24" t="n"/>
    </row>
    <row r="58">
      <c r="A58" s="21" t="n"/>
      <c r="B58" s="21" t="n"/>
      <c r="C58" s="22" t="n"/>
      <c r="D58" s="24" t="n"/>
    </row>
    <row r="59">
      <c r="A59" s="21" t="n"/>
      <c r="B59" s="21" t="n"/>
      <c r="C59" s="22" t="n"/>
      <c r="D59" s="24" t="n"/>
    </row>
    <row r="60">
      <c r="A60" s="21" t="n"/>
      <c r="B60" s="21" t="n"/>
      <c r="C60" s="22" t="n"/>
      <c r="D60" s="24" t="n"/>
    </row>
    <row r="61">
      <c r="A61" s="21" t="n"/>
      <c r="B61" s="21" t="n"/>
      <c r="C61" s="22" t="n"/>
      <c r="D61" s="24" t="n"/>
    </row>
    <row r="62">
      <c r="A62" s="21" t="n"/>
      <c r="B62" s="21" t="n"/>
      <c r="C62" s="22" t="n"/>
      <c r="D62" s="24" t="n"/>
    </row>
    <row r="63">
      <c r="A63" s="21" t="n"/>
      <c r="B63" s="21" t="n"/>
      <c r="C63" s="22" t="n"/>
      <c r="D63" s="24" t="n"/>
    </row>
    <row r="64">
      <c r="A64" s="21" t="n"/>
      <c r="B64" s="21" t="n"/>
      <c r="C64" s="22" t="n"/>
      <c r="D64" s="24" t="n"/>
    </row>
    <row r="65">
      <c r="A65" s="21" t="n"/>
      <c r="B65" s="21" t="n"/>
      <c r="C65" s="22" t="n"/>
      <c r="D65" s="24" t="n"/>
    </row>
    <row r="66">
      <c r="A66" s="21" t="n"/>
      <c r="B66" s="21" t="n"/>
      <c r="C66" s="22" t="n"/>
      <c r="D66" s="24" t="n"/>
    </row>
    <row r="67">
      <c r="A67" s="21" t="n"/>
      <c r="B67" s="21" t="n"/>
      <c r="C67" s="22" t="n"/>
      <c r="D67" s="24" t="n"/>
    </row>
    <row r="68">
      <c r="A68" s="21" t="n"/>
      <c r="B68" s="21" t="n"/>
      <c r="C68" s="22" t="n"/>
      <c r="D68" s="24" t="n"/>
    </row>
    <row r="69">
      <c r="A69" s="21" t="n"/>
      <c r="B69" s="21" t="n"/>
      <c r="C69" s="22" t="n"/>
      <c r="D69" s="24" t="n"/>
    </row>
    <row r="70">
      <c r="A70" s="21" t="n"/>
      <c r="B70" s="21" t="n"/>
      <c r="C70" s="22" t="n"/>
      <c r="D70" s="24" t="n"/>
    </row>
    <row r="71">
      <c r="A71" s="21" t="n"/>
      <c r="B71" s="21" t="n"/>
      <c r="C71" s="22" t="n"/>
      <c r="D71" s="24" t="n"/>
    </row>
    <row r="72">
      <c r="A72" s="21" t="n"/>
      <c r="B72" s="21" t="n"/>
      <c r="C72" s="22" t="n"/>
      <c r="D72" s="24" t="n"/>
    </row>
    <row r="73">
      <c r="A73" s="21" t="n"/>
      <c r="B73" s="21" t="n"/>
      <c r="C73" s="22" t="n"/>
      <c r="D73" s="24" t="n"/>
    </row>
    <row r="74">
      <c r="A74" s="21" t="n"/>
      <c r="B74" s="21" t="n"/>
      <c r="C74" s="22" t="n"/>
      <c r="D74" s="24" t="n"/>
    </row>
    <row r="75">
      <c r="A75" s="21" t="n"/>
      <c r="B75" s="21" t="n"/>
      <c r="C75" s="22" t="n"/>
      <c r="D75" s="24" t="n"/>
    </row>
    <row r="76">
      <c r="A76" s="21" t="n"/>
      <c r="B76" s="21" t="n"/>
      <c r="C76" s="22" t="n"/>
      <c r="D76" s="24" t="n"/>
    </row>
    <row r="77">
      <c r="A77" s="21" t="n"/>
      <c r="B77" s="21" t="n"/>
      <c r="C77" s="22" t="n"/>
      <c r="D77" s="24" t="n"/>
    </row>
    <row r="78">
      <c r="A78" s="21" t="n"/>
      <c r="B78" s="21" t="n"/>
      <c r="C78" s="22" t="n"/>
      <c r="D78" s="24" t="n"/>
    </row>
    <row r="79">
      <c r="A79" s="21" t="n"/>
      <c r="B79" s="21" t="n"/>
      <c r="C79" s="22" t="n"/>
      <c r="D79" s="24" t="n"/>
    </row>
    <row r="80">
      <c r="A80" s="21" t="n"/>
      <c r="B80" s="21" t="n"/>
      <c r="C80" s="22" t="n"/>
      <c r="D80" s="24" t="n"/>
    </row>
    <row r="81">
      <c r="A81" s="21" t="n"/>
      <c r="B81" s="21" t="n"/>
      <c r="C81" s="22" t="n"/>
      <c r="D81" s="24" t="n"/>
    </row>
    <row r="82">
      <c r="A82" s="21" t="n"/>
      <c r="B82" s="21" t="n"/>
      <c r="C82" s="22" t="n"/>
      <c r="D82" s="24" t="n"/>
    </row>
    <row r="83">
      <c r="A83" s="21" t="n"/>
      <c r="B83" s="21" t="n"/>
      <c r="C83" s="22" t="n"/>
      <c r="D83" s="24" t="n"/>
    </row>
    <row r="84">
      <c r="A84" s="21" t="n"/>
      <c r="B84" s="21" t="n"/>
      <c r="C84" s="22" t="n"/>
      <c r="D84" s="24" t="n"/>
    </row>
    <row r="85">
      <c r="A85" s="21" t="n"/>
      <c r="B85" s="21" t="n"/>
      <c r="C85" s="22" t="n"/>
      <c r="D85" s="24" t="n"/>
    </row>
    <row r="86">
      <c r="A86" s="21" t="n"/>
      <c r="B86" s="21" t="n"/>
      <c r="C86" s="22" t="n"/>
      <c r="D86" s="24" t="n"/>
    </row>
    <row r="87">
      <c r="A87" s="21" t="n"/>
      <c r="B87" s="21" t="n"/>
      <c r="C87" s="22" t="n"/>
      <c r="D87" s="24" t="n"/>
    </row>
    <row r="88">
      <c r="A88" s="21" t="n"/>
      <c r="B88" s="21" t="n"/>
      <c r="C88" s="22" t="n"/>
      <c r="D88" s="24" t="n"/>
    </row>
    <row r="89">
      <c r="A89" s="21" t="n"/>
      <c r="B89" s="21" t="n"/>
      <c r="C89" s="22" t="n"/>
      <c r="D89" s="24" t="n"/>
    </row>
    <row r="90">
      <c r="A90" s="21" t="n"/>
      <c r="B90" s="21" t="n"/>
      <c r="C90" s="22" t="n"/>
      <c r="D90" s="24" t="n"/>
    </row>
    <row r="91">
      <c r="A91" s="21" t="n"/>
      <c r="B91" s="21" t="n"/>
      <c r="C91" s="22" t="n"/>
      <c r="D91" s="24" t="n"/>
    </row>
    <row r="92">
      <c r="A92" s="21" t="n"/>
      <c r="B92" s="21" t="n"/>
      <c r="C92" s="22" t="n"/>
      <c r="D92" s="24" t="n"/>
    </row>
    <row r="93">
      <c r="A93" s="21" t="n"/>
      <c r="B93" s="21" t="n"/>
      <c r="C93" s="22" t="n"/>
      <c r="D93" s="24" t="n"/>
    </row>
    <row r="94">
      <c r="A94" s="21" t="n"/>
      <c r="B94" s="21" t="n"/>
      <c r="C94" s="22" t="n"/>
      <c r="D94" s="24" t="n"/>
    </row>
    <row r="95">
      <c r="A95" s="21" t="n"/>
      <c r="B95" s="21" t="n"/>
      <c r="C95" s="22" t="n"/>
      <c r="D95" s="24" t="n"/>
    </row>
    <row r="96">
      <c r="A96" s="21" t="n"/>
      <c r="B96" s="21" t="n"/>
      <c r="C96" s="22" t="n"/>
      <c r="D96" s="24" t="n"/>
    </row>
    <row r="97">
      <c r="A97" s="21" t="n"/>
      <c r="B97" s="21" t="n"/>
      <c r="C97" s="22" t="n"/>
      <c r="D97" s="24" t="n"/>
    </row>
    <row r="98">
      <c r="A98" s="21" t="n"/>
      <c r="B98" s="21" t="n"/>
      <c r="C98" s="22" t="n"/>
      <c r="D98" s="24" t="n"/>
    </row>
    <row r="99">
      <c r="A99" s="21" t="n"/>
      <c r="B99" s="21" t="n"/>
      <c r="C99" s="22" t="n"/>
      <c r="D99" s="24" t="n"/>
    </row>
    <row r="100">
      <c r="A100" s="21" t="n"/>
      <c r="B100" s="21" t="n"/>
      <c r="C100" s="22" t="n"/>
      <c r="D100" s="24" t="n"/>
    </row>
    <row r="101">
      <c r="A101" s="21" t="n"/>
      <c r="B101" s="21" t="n"/>
      <c r="C101" s="22" t="n"/>
      <c r="D101" s="24" t="n"/>
    </row>
    <row r="102">
      <c r="A102" s="21" t="n"/>
      <c r="B102" s="21" t="n"/>
      <c r="C102" s="22" t="n"/>
      <c r="D102" s="24" t="n"/>
    </row>
    <row r="103">
      <c r="A103" s="21" t="n"/>
      <c r="B103" s="21" t="n"/>
      <c r="C103" s="22" t="n"/>
      <c r="D103" s="24" t="n"/>
    </row>
    <row r="104">
      <c r="A104" s="21" t="n"/>
      <c r="B104" s="21" t="n"/>
      <c r="C104" s="22" t="n"/>
      <c r="D104" s="24" t="n"/>
    </row>
    <row r="105">
      <c r="A105" s="21" t="n"/>
      <c r="B105" s="21" t="n"/>
      <c r="C105" s="22" t="n"/>
      <c r="D105" s="24" t="n"/>
    </row>
    <row r="106">
      <c r="A106" s="21" t="n"/>
      <c r="B106" s="21" t="n"/>
      <c r="C106" s="22" t="n"/>
      <c r="D106" s="24" t="n"/>
    </row>
    <row r="107">
      <c r="A107" s="21" t="n"/>
      <c r="B107" s="21" t="n"/>
      <c r="C107" s="22" t="n"/>
      <c r="D107" s="24" t="n"/>
    </row>
    <row r="108">
      <c r="A108" s="21" t="n"/>
      <c r="B108" s="21" t="n"/>
      <c r="C108" s="22" t="n"/>
      <c r="D108" s="24" t="n"/>
    </row>
    <row r="109">
      <c r="A109" s="21" t="n"/>
      <c r="B109" s="21" t="n"/>
      <c r="C109" s="22" t="n"/>
      <c r="D109" s="24" t="n"/>
    </row>
    <row r="110">
      <c r="A110" s="21" t="n"/>
      <c r="B110" s="21" t="n"/>
      <c r="C110" s="22" t="n"/>
      <c r="D110" s="24" t="n"/>
    </row>
    <row r="111">
      <c r="A111" s="21" t="n"/>
      <c r="B111" s="21" t="n"/>
      <c r="C111" s="22" t="n"/>
      <c r="D111" s="24" t="n"/>
    </row>
    <row r="112">
      <c r="A112" s="21" t="n"/>
      <c r="B112" s="21" t="n"/>
      <c r="C112" s="22" t="n"/>
      <c r="D112" s="24" t="n"/>
    </row>
    <row r="113">
      <c r="A113" s="21" t="n"/>
      <c r="B113" s="21" t="n"/>
      <c r="C113" s="22" t="n"/>
      <c r="D113" s="24" t="n"/>
    </row>
    <row r="114">
      <c r="A114" s="21" t="n"/>
      <c r="B114" s="21" t="n"/>
      <c r="C114" s="22" t="n"/>
      <c r="D114" s="24" t="n"/>
    </row>
    <row r="115">
      <c r="A115" s="21" t="n"/>
      <c r="B115" s="21" t="n"/>
      <c r="C115" s="22" t="n"/>
      <c r="D115" s="24" t="n"/>
    </row>
    <row r="116">
      <c r="A116" s="21" t="n"/>
      <c r="B116" s="21" t="n"/>
      <c r="C116" s="22" t="n"/>
      <c r="D116" s="24" t="n"/>
    </row>
    <row r="117">
      <c r="A117" s="21" t="n"/>
      <c r="B117" s="21" t="n"/>
      <c r="C117" s="22" t="n"/>
      <c r="D117" s="24" t="n"/>
    </row>
    <row r="118">
      <c r="A118" s="21" t="n"/>
      <c r="B118" s="21" t="n"/>
      <c r="C118" s="22" t="n"/>
      <c r="D118" s="24" t="n"/>
    </row>
    <row r="119">
      <c r="A119" s="21" t="n"/>
      <c r="B119" s="21" t="n"/>
      <c r="C119" s="22" t="n"/>
      <c r="D119" s="24" t="n"/>
    </row>
    <row r="120">
      <c r="A120" s="21" t="n"/>
      <c r="B120" s="21" t="n"/>
      <c r="C120" s="22" t="n"/>
      <c r="D120" s="24" t="n"/>
    </row>
    <row r="121">
      <c r="A121" s="21" t="n"/>
      <c r="B121" s="21" t="n"/>
      <c r="C121" s="22" t="n"/>
      <c r="D121" s="24" t="n"/>
    </row>
    <row r="122">
      <c r="A122" s="21" t="n"/>
      <c r="B122" s="21" t="n"/>
      <c r="C122" s="22" t="n"/>
      <c r="D122" s="24" t="n"/>
    </row>
    <row r="123">
      <c r="A123" s="21" t="n"/>
      <c r="B123" s="21" t="n"/>
      <c r="C123" s="22" t="n"/>
      <c r="D123" s="24" t="n"/>
    </row>
    <row r="124">
      <c r="A124" s="21" t="n"/>
      <c r="B124" s="21" t="n"/>
      <c r="C124" s="22" t="n"/>
      <c r="D124" s="24" t="n"/>
    </row>
    <row r="125">
      <c r="A125" s="21" t="n"/>
      <c r="B125" s="21" t="n"/>
      <c r="C125" s="22" t="n"/>
      <c r="D125" s="24" t="n"/>
    </row>
    <row r="126">
      <c r="A126" s="21" t="n"/>
      <c r="B126" s="21" t="n"/>
      <c r="C126" s="22" t="n"/>
      <c r="D126" s="24" t="n"/>
    </row>
    <row r="127">
      <c r="A127" s="21" t="n"/>
      <c r="B127" s="21" t="n"/>
      <c r="C127" s="22" t="n"/>
      <c r="D127" s="24" t="n"/>
    </row>
    <row r="128">
      <c r="A128" s="21" t="n"/>
      <c r="B128" s="21" t="n"/>
      <c r="C128" s="22" t="n"/>
      <c r="D128" s="24" t="n"/>
    </row>
    <row r="129">
      <c r="A129" s="21" t="n"/>
      <c r="B129" s="21" t="n"/>
      <c r="C129" s="22" t="n"/>
      <c r="D129" s="24" t="n"/>
    </row>
    <row r="130">
      <c r="A130" s="21" t="n"/>
      <c r="B130" s="21" t="n"/>
      <c r="C130" s="22" t="n"/>
      <c r="D130" s="24" t="n"/>
    </row>
    <row r="131">
      <c r="A131" s="21" t="n"/>
      <c r="B131" s="21" t="n"/>
      <c r="C131" s="22" t="n"/>
      <c r="D131" s="24" t="n"/>
    </row>
    <row r="132">
      <c r="A132" s="21" t="n"/>
      <c r="B132" s="21" t="n"/>
      <c r="C132" s="22" t="n"/>
      <c r="D132" s="24" t="n"/>
    </row>
    <row r="133">
      <c r="A133" s="21" t="n"/>
      <c r="B133" s="21" t="n"/>
      <c r="C133" s="22" t="n"/>
      <c r="D133" s="24" t="n"/>
    </row>
    <row r="134">
      <c r="A134" s="21" t="n"/>
      <c r="B134" s="21" t="n"/>
      <c r="C134" s="22" t="n"/>
      <c r="D134" s="24" t="n"/>
    </row>
    <row r="135">
      <c r="A135" s="21" t="n"/>
      <c r="B135" s="21" t="n"/>
      <c r="C135" s="22" t="n"/>
      <c r="D135" s="24" t="n"/>
    </row>
    <row r="136">
      <c r="A136" s="21" t="n"/>
      <c r="B136" s="21" t="n"/>
      <c r="C136" s="22" t="n"/>
      <c r="D136" s="24" t="n"/>
    </row>
    <row r="137">
      <c r="A137" s="21" t="n"/>
      <c r="B137" s="21" t="n"/>
      <c r="C137" s="22" t="n"/>
      <c r="D137" s="24" t="n"/>
    </row>
    <row r="138">
      <c r="A138" s="21" t="n"/>
      <c r="B138" s="21" t="n"/>
      <c r="C138" s="22" t="n"/>
      <c r="D138" s="24" t="n"/>
    </row>
    <row r="139">
      <c r="A139" s="21" t="n"/>
      <c r="B139" s="21" t="n"/>
      <c r="C139" s="22" t="n"/>
      <c r="D139" s="24" t="n"/>
    </row>
    <row r="140">
      <c r="A140" s="21" t="n"/>
      <c r="B140" s="21" t="n"/>
      <c r="C140" s="22" t="n"/>
      <c r="D140" s="24" t="n"/>
    </row>
    <row r="141">
      <c r="A141" s="21" t="n"/>
      <c r="B141" s="21" t="n"/>
      <c r="C141" s="22" t="n"/>
      <c r="D141" s="24" t="n"/>
    </row>
    <row r="142">
      <c r="A142" s="21" t="n"/>
      <c r="B142" s="21" t="n"/>
      <c r="C142" s="22" t="n"/>
      <c r="D142" s="24" t="n"/>
    </row>
    <row r="143">
      <c r="A143" s="21" t="n"/>
      <c r="B143" s="21" t="n"/>
      <c r="C143" s="22" t="n"/>
      <c r="D143" s="24" t="n"/>
    </row>
    <row r="144">
      <c r="A144" s="21" t="n"/>
      <c r="B144" s="21" t="n"/>
      <c r="C144" s="22" t="n"/>
      <c r="D144" s="24" t="n"/>
    </row>
    <row r="145">
      <c r="A145" s="21" t="n"/>
      <c r="B145" s="21" t="n"/>
      <c r="C145" s="22" t="n"/>
      <c r="D145" s="24" t="n"/>
    </row>
    <row r="146">
      <c r="A146" s="21" t="n"/>
      <c r="B146" s="21" t="n"/>
      <c r="C146" s="22" t="n"/>
      <c r="D146" s="24" t="n"/>
    </row>
    <row r="147">
      <c r="A147" s="21" t="n"/>
      <c r="B147" s="21" t="n"/>
      <c r="C147" s="22" t="n"/>
      <c r="D147" s="24" t="n"/>
    </row>
    <row r="148">
      <c r="A148" s="21" t="n"/>
      <c r="B148" s="21" t="n"/>
      <c r="C148" s="22" t="n"/>
      <c r="D148" s="24" t="n"/>
    </row>
    <row r="149">
      <c r="A149" s="21" t="n"/>
      <c r="B149" s="21" t="n"/>
      <c r="C149" s="22" t="n"/>
      <c r="D149" s="24" t="n"/>
    </row>
    <row r="150">
      <c r="A150" s="21" t="n"/>
      <c r="B150" s="21" t="n"/>
      <c r="C150" s="22" t="n"/>
      <c r="D150" s="24" t="n"/>
    </row>
    <row r="151">
      <c r="A151" s="21" t="n"/>
      <c r="B151" s="21" t="n"/>
      <c r="C151" s="22" t="n"/>
      <c r="D151" s="24" t="n"/>
    </row>
    <row r="152">
      <c r="A152" s="21" t="n"/>
      <c r="B152" s="21" t="n"/>
      <c r="C152" s="22" t="n"/>
      <c r="D152" s="24" t="n"/>
    </row>
    <row r="153">
      <c r="A153" s="21" t="n"/>
      <c r="B153" s="21" t="n"/>
      <c r="C153" s="22" t="n"/>
      <c r="D153" s="24" t="n"/>
    </row>
    <row r="154">
      <c r="A154" s="21" t="n"/>
      <c r="B154" s="21" t="n"/>
      <c r="C154" s="22" t="n"/>
      <c r="D154" s="24" t="n"/>
    </row>
    <row r="155">
      <c r="A155" s="21" t="n"/>
      <c r="B155" s="21" t="n"/>
      <c r="C155" s="22" t="n"/>
      <c r="D155" s="24" t="n"/>
    </row>
    <row r="156">
      <c r="A156" s="21" t="n"/>
      <c r="B156" s="21" t="n"/>
      <c r="C156" s="22" t="n"/>
      <c r="D156" s="24" t="n"/>
    </row>
    <row r="157">
      <c r="A157" s="21" t="n"/>
      <c r="B157" s="21" t="n"/>
      <c r="C157" s="22" t="n"/>
      <c r="D157" s="24" t="n"/>
    </row>
    <row r="158">
      <c r="A158" s="21" t="n"/>
      <c r="B158" s="21" t="n"/>
      <c r="C158" s="22" t="n"/>
      <c r="D158" s="24" t="n"/>
    </row>
    <row r="159">
      <c r="A159" s="21" t="n"/>
      <c r="B159" s="21" t="n"/>
      <c r="C159" s="22" t="n"/>
      <c r="D159" s="24" t="n"/>
    </row>
    <row r="160">
      <c r="A160" s="21" t="n"/>
      <c r="B160" s="21" t="n"/>
      <c r="C160" s="22" t="n"/>
      <c r="D160" s="24" t="n"/>
    </row>
    <row r="161">
      <c r="A161" s="21" t="n"/>
      <c r="B161" s="21" t="n"/>
      <c r="C161" s="22" t="n"/>
      <c r="D161" s="24" t="n"/>
    </row>
    <row r="162">
      <c r="A162" s="21" t="n"/>
      <c r="B162" s="21" t="n"/>
      <c r="C162" s="22" t="n"/>
      <c r="D162" s="24" t="n"/>
    </row>
    <row r="163">
      <c r="A163" s="21" t="n"/>
      <c r="B163" s="21" t="n"/>
      <c r="C163" s="22" t="n"/>
      <c r="D163" s="24" t="n"/>
    </row>
    <row r="164">
      <c r="A164" s="21" t="n"/>
      <c r="B164" s="21" t="n"/>
      <c r="C164" s="22" t="n"/>
      <c r="D164" s="24" t="n"/>
    </row>
    <row r="165">
      <c r="A165" s="21" t="n"/>
      <c r="B165" s="21" t="n"/>
      <c r="C165" s="22" t="n"/>
      <c r="D165" s="24" t="n"/>
    </row>
    <row r="166">
      <c r="A166" s="21" t="n"/>
      <c r="B166" s="21" t="n"/>
      <c r="C166" s="22" t="n"/>
      <c r="D166" s="24" t="n"/>
    </row>
    <row r="167">
      <c r="A167" s="21" t="n"/>
      <c r="B167" s="21" t="n"/>
      <c r="C167" s="22" t="n"/>
      <c r="D167" s="24" t="n"/>
    </row>
    <row r="168">
      <c r="A168" s="21" t="n"/>
      <c r="B168" s="21" t="n"/>
      <c r="C168" s="22" t="n"/>
      <c r="D168" s="24" t="n"/>
    </row>
    <row r="169">
      <c r="A169" s="21" t="n"/>
      <c r="B169" s="21" t="n"/>
      <c r="C169" s="22" t="n"/>
      <c r="D169" s="24" t="n"/>
    </row>
    <row r="170">
      <c r="A170" s="21" t="n"/>
      <c r="B170" s="21" t="n"/>
      <c r="C170" s="22" t="n"/>
      <c r="D170" s="24" t="n"/>
    </row>
    <row r="171">
      <c r="A171" s="21" t="n"/>
      <c r="B171" s="21" t="n"/>
      <c r="C171" s="22" t="n"/>
      <c r="D171" s="24" t="n"/>
    </row>
    <row r="172">
      <c r="A172" s="21" t="n"/>
      <c r="B172" s="21" t="n"/>
      <c r="C172" s="22" t="n"/>
      <c r="D172" s="24" t="n"/>
    </row>
    <row r="173">
      <c r="A173" s="21" t="n"/>
      <c r="B173" s="21" t="n"/>
      <c r="C173" s="22" t="n"/>
      <c r="D173" s="24" t="n"/>
    </row>
    <row r="174">
      <c r="A174" s="21" t="n"/>
      <c r="B174" s="21" t="n"/>
      <c r="C174" s="22" t="n"/>
      <c r="D174" s="24" t="n"/>
    </row>
    <row r="175">
      <c r="A175" s="21" t="n"/>
      <c r="B175" s="21" t="n"/>
      <c r="C175" s="22" t="n"/>
      <c r="D175" s="24" t="n"/>
    </row>
    <row r="176">
      <c r="A176" s="21" t="n"/>
      <c r="B176" s="21" t="n"/>
      <c r="C176" s="22" t="n"/>
      <c r="D176" s="24" t="n"/>
    </row>
    <row r="177">
      <c r="A177" s="21" t="n"/>
      <c r="B177" s="21" t="n"/>
      <c r="C177" s="22" t="n"/>
      <c r="D177" s="24" t="n"/>
    </row>
    <row r="178">
      <c r="A178" s="21" t="n"/>
      <c r="B178" s="21" t="n"/>
      <c r="C178" s="22" t="n"/>
      <c r="D178" s="24" t="n"/>
    </row>
    <row r="179">
      <c r="A179" s="21" t="n"/>
      <c r="B179" s="21" t="n"/>
      <c r="C179" s="22" t="n"/>
      <c r="D179" s="24" t="n"/>
    </row>
    <row r="180">
      <c r="A180" s="21" t="n"/>
      <c r="B180" s="21" t="n"/>
      <c r="C180" s="22" t="n"/>
      <c r="D180" s="24" t="n"/>
    </row>
    <row r="181">
      <c r="A181" s="21" t="n"/>
      <c r="B181" s="21" t="n"/>
      <c r="C181" s="22" t="n"/>
      <c r="D181" s="24" t="n"/>
    </row>
    <row r="182">
      <c r="A182" s="21" t="n"/>
      <c r="B182" s="21" t="n"/>
      <c r="C182" s="22" t="n"/>
      <c r="D182" s="24" t="n"/>
    </row>
    <row r="183">
      <c r="A183" s="21" t="n"/>
      <c r="B183" s="21" t="n"/>
      <c r="C183" s="22" t="n"/>
      <c r="D183" s="24" t="n"/>
    </row>
    <row r="184">
      <c r="A184" s="21" t="n"/>
      <c r="B184" s="21" t="n"/>
      <c r="C184" s="22" t="n"/>
      <c r="D184" s="24" t="n"/>
    </row>
    <row r="185">
      <c r="A185" s="21" t="n"/>
      <c r="B185" s="21" t="n"/>
      <c r="C185" s="22" t="n"/>
      <c r="D185" s="24" t="n"/>
    </row>
    <row r="186">
      <c r="A186" s="21" t="n"/>
      <c r="B186" s="21" t="n"/>
      <c r="C186" s="22" t="n"/>
      <c r="D186" s="24" t="n"/>
    </row>
    <row r="187">
      <c r="A187" s="21" t="n"/>
      <c r="B187" s="21" t="n"/>
      <c r="C187" s="22" t="n"/>
      <c r="D187" s="24" t="n"/>
    </row>
    <row r="188">
      <c r="A188" s="21" t="n"/>
      <c r="B188" s="21" t="n"/>
      <c r="C188" s="22" t="n"/>
      <c r="D188" s="24" t="n"/>
    </row>
    <row r="189">
      <c r="A189" s="21" t="n"/>
      <c r="B189" s="21" t="n"/>
      <c r="C189" s="22" t="n"/>
      <c r="D189" s="24" t="n"/>
    </row>
    <row r="190">
      <c r="A190" s="21" t="n"/>
      <c r="B190" s="21" t="n"/>
      <c r="C190" s="22" t="n"/>
      <c r="D190" s="24" t="n"/>
    </row>
    <row r="191">
      <c r="A191" s="21" t="n"/>
      <c r="B191" s="21" t="n"/>
      <c r="C191" s="22" t="n"/>
      <c r="D191" s="24" t="n"/>
    </row>
    <row r="192">
      <c r="A192" s="21" t="n"/>
      <c r="B192" s="21" t="n"/>
      <c r="C192" s="22" t="n"/>
      <c r="D192" s="24" t="n"/>
    </row>
    <row r="193">
      <c r="A193" s="21" t="n"/>
      <c r="B193" s="21" t="n"/>
      <c r="C193" s="22" t="n"/>
      <c r="D193" s="24" t="n"/>
    </row>
    <row r="194">
      <c r="A194" s="21" t="n"/>
      <c r="B194" s="21" t="n"/>
      <c r="C194" s="22" t="n"/>
      <c r="D194" s="24" t="n"/>
    </row>
    <row r="195">
      <c r="A195" s="21" t="n"/>
      <c r="B195" s="21" t="n"/>
      <c r="C195" s="22" t="n"/>
      <c r="D195" s="24" t="n"/>
    </row>
    <row r="196">
      <c r="A196" s="21" t="n"/>
      <c r="B196" s="21" t="n"/>
      <c r="C196" s="22" t="n"/>
      <c r="D196" s="24" t="n"/>
    </row>
    <row r="197">
      <c r="A197" s="21" t="n"/>
      <c r="B197" s="21" t="n"/>
      <c r="C197" s="22" t="n"/>
      <c r="D197" s="24" t="n"/>
    </row>
    <row r="198">
      <c r="A198" s="21" t="n"/>
      <c r="B198" s="21" t="n"/>
      <c r="C198" s="22" t="n"/>
      <c r="D198" s="24" t="n"/>
    </row>
    <row r="199">
      <c r="A199" s="21" t="n"/>
      <c r="B199" s="21" t="n"/>
      <c r="C199" s="22" t="n"/>
      <c r="D199" s="24" t="n"/>
    </row>
    <row r="200">
      <c r="A200" s="21" t="n"/>
      <c r="B200" s="21" t="n"/>
      <c r="C200" s="22" t="n"/>
      <c r="D200" s="24" t="n"/>
    </row>
    <row r="201">
      <c r="A201" s="21" t="n"/>
      <c r="B201" s="21" t="n"/>
      <c r="C201" s="22" t="n"/>
      <c r="D201" s="24" t="n"/>
    </row>
    <row r="202">
      <c r="A202" s="21" t="n"/>
      <c r="B202" s="21" t="n"/>
      <c r="C202" s="22" t="n"/>
      <c r="D202" s="24" t="n"/>
    </row>
    <row r="203">
      <c r="A203" s="21" t="n"/>
      <c r="B203" s="21" t="n"/>
      <c r="C203" s="22" t="n"/>
      <c r="D203" s="24" t="n"/>
    </row>
    <row r="204">
      <c r="A204" s="21" t="n"/>
      <c r="B204" s="21" t="n"/>
      <c r="C204" s="22" t="n"/>
      <c r="D204" s="24" t="n"/>
    </row>
    <row r="205">
      <c r="A205" s="21" t="n"/>
      <c r="B205" s="21" t="n"/>
      <c r="C205" s="22" t="n"/>
      <c r="D205" s="24" t="n"/>
    </row>
    <row r="206">
      <c r="A206" s="21" t="n"/>
      <c r="B206" s="21" t="n"/>
      <c r="C206" s="22" t="n"/>
      <c r="D206" s="24" t="n"/>
    </row>
    <row r="207">
      <c r="A207" s="21" t="n"/>
      <c r="B207" s="21" t="n"/>
      <c r="C207" s="22" t="n"/>
      <c r="D207" s="24" t="n"/>
    </row>
    <row r="208">
      <c r="A208" s="21" t="n"/>
      <c r="B208" s="21" t="n"/>
      <c r="C208" s="22" t="n"/>
      <c r="D208" s="24" t="n"/>
    </row>
    <row r="209">
      <c r="A209" s="21" t="n"/>
      <c r="B209" s="21" t="n"/>
      <c r="C209" s="22" t="n"/>
      <c r="D209" s="24" t="n"/>
    </row>
    <row r="210">
      <c r="A210" s="21" t="n"/>
      <c r="B210" s="21" t="n"/>
      <c r="C210" s="22" t="n"/>
      <c r="D210" s="24" t="n"/>
    </row>
    <row r="211">
      <c r="A211" s="21" t="n"/>
      <c r="B211" s="21" t="n"/>
      <c r="C211" s="22" t="n"/>
      <c r="D211" s="24" t="n"/>
    </row>
    <row r="212">
      <c r="A212" s="21" t="n"/>
      <c r="B212" s="21" t="n"/>
      <c r="C212" s="22" t="n"/>
      <c r="D212" s="24" t="n"/>
    </row>
    <row r="213">
      <c r="A213" s="21" t="n"/>
      <c r="B213" s="21" t="n"/>
      <c r="C213" s="22" t="n"/>
      <c r="D213" s="24" t="n"/>
    </row>
    <row r="214">
      <c r="A214" s="21" t="n"/>
      <c r="B214" s="21" t="n"/>
      <c r="C214" s="22" t="n"/>
      <c r="D214" s="24" t="n"/>
    </row>
    <row r="215">
      <c r="A215" s="21" t="n"/>
      <c r="B215" s="21" t="n"/>
      <c r="C215" s="22" t="n"/>
      <c r="D215" s="24" t="n"/>
    </row>
    <row r="216">
      <c r="A216" s="21" t="n"/>
      <c r="B216" s="21" t="n"/>
      <c r="C216" s="22" t="n"/>
      <c r="D216" s="24" t="n"/>
    </row>
    <row r="217">
      <c r="A217" s="21" t="n"/>
      <c r="B217" s="21" t="n"/>
      <c r="C217" s="22" t="n"/>
      <c r="D217" s="24" t="n"/>
    </row>
    <row r="218">
      <c r="A218" s="21" t="n"/>
      <c r="B218" s="21" t="n"/>
      <c r="C218" s="22" t="n"/>
      <c r="D218" s="24" t="n"/>
    </row>
    <row r="219">
      <c r="A219" s="21" t="n"/>
      <c r="B219" s="21" t="n"/>
      <c r="C219" s="22" t="n"/>
      <c r="D219" s="24" t="n"/>
    </row>
    <row r="220">
      <c r="A220" s="21" t="n"/>
      <c r="B220" s="21" t="n"/>
      <c r="C220" s="22" t="n"/>
      <c r="D220" s="24" t="n"/>
    </row>
    <row r="221">
      <c r="A221" s="21" t="n"/>
      <c r="B221" s="21" t="n"/>
      <c r="C221" s="22" t="n"/>
      <c r="D221" s="24" t="n"/>
    </row>
    <row r="222">
      <c r="A222" s="21" t="n"/>
      <c r="B222" s="21" t="n"/>
      <c r="C222" s="22" t="n"/>
      <c r="D222" s="24" t="n"/>
    </row>
    <row r="223">
      <c r="A223" s="21" t="n"/>
      <c r="B223" s="21" t="n"/>
      <c r="C223" s="22" t="n"/>
      <c r="D223" s="24" t="n"/>
    </row>
    <row r="224">
      <c r="A224" s="21" t="n"/>
      <c r="B224" s="21" t="n"/>
      <c r="C224" s="22" t="n"/>
      <c r="D224" s="24" t="n"/>
    </row>
    <row r="225">
      <c r="A225" s="21" t="n"/>
      <c r="B225" s="21" t="n"/>
      <c r="C225" s="22" t="n"/>
      <c r="D225" s="24" t="n"/>
    </row>
    <row r="226">
      <c r="A226" s="21" t="n"/>
      <c r="B226" s="21" t="n"/>
      <c r="C226" s="22" t="n"/>
      <c r="D226" s="24" t="n"/>
    </row>
    <row r="227">
      <c r="A227" s="21" t="n"/>
      <c r="B227" s="21" t="n"/>
      <c r="C227" s="22" t="n"/>
      <c r="D227" s="24" t="n"/>
    </row>
    <row r="228">
      <c r="A228" s="21" t="n"/>
      <c r="B228" s="21" t="n"/>
      <c r="C228" s="22" t="n"/>
      <c r="D228" s="24" t="n"/>
    </row>
    <row r="229">
      <c r="A229" s="21" t="n"/>
      <c r="B229" s="21" t="n"/>
      <c r="C229" s="22" t="n"/>
      <c r="D229" s="24" t="n"/>
    </row>
    <row r="230">
      <c r="A230" s="21" t="n"/>
      <c r="B230" s="21" t="n"/>
      <c r="C230" s="22" t="n"/>
      <c r="D230" s="24" t="n"/>
    </row>
    <row r="231">
      <c r="A231" s="21" t="n"/>
      <c r="B231" s="21" t="n"/>
      <c r="C231" s="22" t="n"/>
      <c r="D231" s="24" t="n"/>
    </row>
    <row r="232">
      <c r="A232" s="21" t="n"/>
      <c r="B232" s="21" t="n"/>
      <c r="C232" s="22" t="n"/>
      <c r="D232" s="24" t="n"/>
    </row>
    <row r="233">
      <c r="A233" s="21" t="n"/>
      <c r="B233" s="21" t="n"/>
      <c r="C233" s="22" t="n"/>
      <c r="D233" s="24" t="n"/>
    </row>
    <row r="234">
      <c r="A234" s="21" t="n"/>
      <c r="B234" s="21" t="n"/>
      <c r="C234" s="22" t="n"/>
      <c r="D234" s="24" t="n"/>
    </row>
    <row r="235">
      <c r="A235" s="21" t="n"/>
      <c r="B235" s="21" t="n"/>
      <c r="C235" s="22" t="n"/>
      <c r="D235" s="24" t="n"/>
    </row>
    <row r="236">
      <c r="A236" s="21" t="n"/>
      <c r="B236" s="21" t="n"/>
      <c r="C236" s="22" t="n"/>
      <c r="D236" s="24" t="n"/>
    </row>
    <row r="237">
      <c r="A237" s="21" t="n"/>
      <c r="B237" s="21" t="n"/>
      <c r="C237" s="22" t="n"/>
      <c r="D237" s="24" t="n"/>
    </row>
    <row r="238">
      <c r="A238" s="21" t="n"/>
      <c r="B238" s="21" t="n"/>
      <c r="C238" s="22" t="n"/>
      <c r="D238" s="24" t="n"/>
    </row>
    <row r="239">
      <c r="A239" s="21" t="n"/>
      <c r="B239" s="21" t="n"/>
      <c r="C239" s="22" t="n"/>
      <c r="D239" s="24" t="n"/>
    </row>
    <row r="240">
      <c r="A240" s="21" t="n"/>
      <c r="B240" s="21" t="n"/>
      <c r="C240" s="22" t="n"/>
      <c r="D240" s="24" t="n"/>
    </row>
    <row r="241">
      <c r="A241" s="21" t="n"/>
      <c r="B241" s="21" t="n"/>
      <c r="C241" s="22" t="n"/>
      <c r="D241" s="24" t="n"/>
    </row>
    <row r="242">
      <c r="A242" s="21" t="n"/>
      <c r="B242" s="21" t="n"/>
      <c r="C242" s="22" t="n"/>
      <c r="D242" s="24" t="n"/>
    </row>
    <row r="243">
      <c r="A243" s="21" t="n"/>
      <c r="B243" s="21" t="n"/>
      <c r="C243" s="22" t="n"/>
      <c r="D243" s="24" t="n"/>
    </row>
    <row r="244">
      <c r="A244" s="21" t="n"/>
      <c r="B244" s="21" t="n"/>
      <c r="C244" s="22" t="n"/>
      <c r="D244" s="24" t="n"/>
    </row>
    <row r="245">
      <c r="A245" s="21" t="n"/>
      <c r="B245" s="21" t="n"/>
      <c r="C245" s="22" t="n"/>
      <c r="D245" s="24" t="n"/>
    </row>
    <row r="246">
      <c r="A246" s="21" t="n"/>
      <c r="B246" s="21" t="n"/>
      <c r="C246" s="22" t="n"/>
      <c r="D246" s="24" t="n"/>
    </row>
    <row r="247">
      <c r="A247" s="21" t="n"/>
      <c r="B247" s="21" t="n"/>
      <c r="C247" s="22" t="n"/>
      <c r="D247" s="24" t="n"/>
    </row>
    <row r="248">
      <c r="A248" s="21" t="n"/>
      <c r="B248" s="21" t="n"/>
      <c r="C248" s="22" t="n"/>
      <c r="D248" s="24" t="n"/>
    </row>
    <row r="249">
      <c r="A249" s="21" t="n"/>
      <c r="B249" s="21" t="n"/>
      <c r="C249" s="22" t="n"/>
      <c r="D249" s="24" t="n"/>
    </row>
    <row r="250">
      <c r="A250" s="21" t="n"/>
      <c r="B250" s="21" t="n"/>
      <c r="C250" s="22" t="n"/>
      <c r="D250" s="24" t="n"/>
    </row>
    <row r="251">
      <c r="A251" s="21" t="n"/>
      <c r="B251" s="21" t="n"/>
      <c r="C251" s="22" t="n"/>
      <c r="D251" s="24" t="n"/>
    </row>
    <row r="252">
      <c r="A252" s="21" t="n"/>
      <c r="B252" s="21" t="n"/>
      <c r="C252" s="22" t="n"/>
      <c r="D252" s="24" t="n"/>
    </row>
    <row r="253">
      <c r="A253" s="21" t="n"/>
      <c r="B253" s="21" t="n"/>
      <c r="C253" s="22" t="n"/>
      <c r="D253" s="24" t="n"/>
    </row>
    <row r="254">
      <c r="A254" s="21" t="n"/>
      <c r="B254" s="21" t="n"/>
      <c r="C254" s="22" t="n"/>
      <c r="D254" s="24" t="n"/>
    </row>
    <row r="255">
      <c r="A255" s="21" t="n"/>
      <c r="B255" s="21" t="n"/>
      <c r="C255" s="22" t="n"/>
      <c r="D255" s="24" t="n"/>
    </row>
    <row r="256">
      <c r="A256" s="21" t="n"/>
      <c r="B256" s="21" t="n"/>
      <c r="C256" s="22" t="n"/>
      <c r="D256" s="24" t="n"/>
    </row>
    <row r="257">
      <c r="A257" s="21" t="n"/>
      <c r="B257" s="21" t="n"/>
      <c r="C257" s="22" t="n"/>
      <c r="D257" s="24" t="n"/>
    </row>
    <row r="258">
      <c r="A258" s="21" t="n"/>
      <c r="B258" s="21" t="n"/>
      <c r="C258" s="22" t="n"/>
      <c r="D258" s="24" t="n"/>
    </row>
    <row r="259">
      <c r="A259" s="21" t="n"/>
      <c r="B259" s="21" t="n"/>
      <c r="C259" s="22" t="n"/>
      <c r="D259" s="24" t="n"/>
    </row>
    <row r="260">
      <c r="A260" s="21" t="n"/>
      <c r="B260" s="21" t="n"/>
      <c r="C260" s="22" t="n"/>
      <c r="D260" s="24" t="n"/>
    </row>
    <row r="261">
      <c r="A261" s="21" t="n"/>
      <c r="B261" s="21" t="n"/>
      <c r="C261" s="22" t="n"/>
      <c r="D261" s="24" t="n"/>
    </row>
    <row r="262">
      <c r="A262" s="21" t="n"/>
      <c r="B262" s="21" t="n"/>
      <c r="C262" s="22" t="n"/>
      <c r="D262" s="24" t="n"/>
    </row>
    <row r="263">
      <c r="A263" s="21" t="n"/>
      <c r="B263" s="21" t="n"/>
      <c r="C263" s="22" t="n"/>
      <c r="D263" s="24" t="n"/>
    </row>
    <row r="264">
      <c r="A264" s="21" t="n"/>
      <c r="B264" s="21" t="n"/>
      <c r="C264" s="22" t="n"/>
      <c r="D264" s="24" t="n"/>
    </row>
    <row r="265">
      <c r="A265" s="21" t="n"/>
      <c r="B265" s="21" t="n"/>
      <c r="C265" s="22" t="n"/>
      <c r="D265" s="24" t="n"/>
    </row>
    <row r="266">
      <c r="A266" s="21" t="n"/>
      <c r="B266" s="21" t="n"/>
      <c r="C266" s="22" t="n"/>
      <c r="D266" s="24" t="n"/>
    </row>
    <row r="267">
      <c r="A267" s="21" t="n"/>
      <c r="B267" s="21" t="n"/>
      <c r="C267" s="22" t="n"/>
      <c r="D267" s="24" t="n"/>
    </row>
    <row r="268">
      <c r="A268" s="21" t="n"/>
      <c r="B268" s="21" t="n"/>
      <c r="C268" s="22" t="n"/>
      <c r="D268" s="24" t="n"/>
    </row>
    <row r="269">
      <c r="A269" s="21" t="n"/>
      <c r="B269" s="21" t="n"/>
      <c r="C269" s="22" t="n"/>
      <c r="D269" s="24" t="n"/>
    </row>
    <row r="270">
      <c r="A270" s="21" t="n"/>
      <c r="B270" s="21" t="n"/>
      <c r="C270" s="22" t="n"/>
      <c r="D270" s="24" t="n"/>
    </row>
    <row r="271">
      <c r="A271" s="21" t="n"/>
      <c r="B271" s="21" t="n"/>
      <c r="C271" s="22" t="n"/>
      <c r="D271" s="24" t="n"/>
    </row>
    <row r="272">
      <c r="A272" s="21" t="n"/>
      <c r="B272" s="21" t="n"/>
      <c r="C272" s="22" t="n"/>
      <c r="D272" s="24" t="n"/>
    </row>
    <row r="273">
      <c r="A273" s="21" t="n"/>
      <c r="B273" s="21" t="n"/>
      <c r="C273" s="22" t="n"/>
      <c r="D273" s="24" t="n"/>
    </row>
    <row r="274">
      <c r="A274" s="21" t="n"/>
      <c r="B274" s="21" t="n"/>
      <c r="C274" s="22" t="n"/>
      <c r="D274" s="24" t="n"/>
    </row>
    <row r="275">
      <c r="A275" s="21" t="n"/>
      <c r="B275" s="21" t="n"/>
      <c r="C275" s="22" t="n"/>
      <c r="D275" s="24" t="n"/>
    </row>
    <row r="276">
      <c r="A276" s="21" t="n"/>
      <c r="B276" s="21" t="n"/>
      <c r="C276" s="22" t="n"/>
      <c r="D276" s="24" t="n"/>
    </row>
    <row r="277">
      <c r="A277" s="21" t="n"/>
      <c r="B277" s="21" t="n"/>
      <c r="C277" s="22" t="n"/>
      <c r="D277" s="24" t="n"/>
    </row>
    <row r="278">
      <c r="A278" s="21" t="n"/>
      <c r="B278" s="21" t="n"/>
      <c r="C278" s="22" t="n"/>
      <c r="D278" s="24" t="n"/>
    </row>
    <row r="279">
      <c r="A279" s="21" t="n"/>
      <c r="B279" s="21" t="n"/>
      <c r="C279" s="22" t="n"/>
      <c r="D279" s="24" t="n"/>
    </row>
    <row r="280">
      <c r="A280" s="21" t="n"/>
      <c r="B280" s="21" t="n"/>
      <c r="C280" s="22" t="n"/>
      <c r="D280" s="24" t="n"/>
    </row>
    <row r="281">
      <c r="A281" s="21" t="n"/>
      <c r="B281" s="21" t="n"/>
      <c r="C281" s="22" t="n"/>
      <c r="D281" s="24" t="n"/>
    </row>
    <row r="282">
      <c r="A282" s="21" t="n"/>
      <c r="B282" s="21" t="n"/>
      <c r="C282" s="22" t="n"/>
      <c r="D282" s="24" t="n"/>
    </row>
    <row r="283">
      <c r="A283" s="21" t="n"/>
      <c r="B283" s="21" t="n"/>
      <c r="C283" s="22" t="n"/>
      <c r="D283" s="24" t="n"/>
    </row>
    <row r="284">
      <c r="A284" s="21" t="n"/>
      <c r="B284" s="21" t="n"/>
      <c r="C284" s="22" t="n"/>
      <c r="D284" s="24" t="n"/>
    </row>
    <row r="285">
      <c r="A285" s="21" t="n"/>
      <c r="B285" s="21" t="n"/>
      <c r="C285" s="22" t="n"/>
      <c r="D285" s="24" t="n"/>
    </row>
    <row r="286">
      <c r="A286" s="21" t="n"/>
      <c r="B286" s="21" t="n"/>
      <c r="C286" s="22" t="n"/>
      <c r="D286" s="24" t="n"/>
    </row>
    <row r="287">
      <c r="A287" s="21" t="n"/>
      <c r="B287" s="21" t="n"/>
      <c r="C287" s="22" t="n"/>
      <c r="D287" s="24" t="n"/>
    </row>
    <row r="288">
      <c r="A288" s="21" t="n"/>
      <c r="B288" s="21" t="n"/>
      <c r="C288" s="22" t="n"/>
      <c r="D288" s="24" t="n"/>
    </row>
    <row r="289">
      <c r="A289" s="21" t="n"/>
      <c r="B289" s="21" t="n"/>
      <c r="C289" s="22" t="n"/>
      <c r="D289" s="24" t="n"/>
    </row>
    <row r="290">
      <c r="A290" s="21" t="n"/>
      <c r="B290" s="21" t="n"/>
      <c r="C290" s="22" t="n"/>
      <c r="D290" s="24" t="n"/>
    </row>
    <row r="291">
      <c r="A291" s="21" t="n"/>
      <c r="B291" s="21" t="n"/>
      <c r="C291" s="22" t="n"/>
      <c r="D291" s="24" t="n"/>
    </row>
    <row r="292">
      <c r="A292" s="21" t="n"/>
      <c r="B292" s="21" t="n"/>
      <c r="C292" s="22" t="n"/>
      <c r="D292" s="24" t="n"/>
    </row>
    <row r="293">
      <c r="A293" s="21" t="n"/>
      <c r="B293" s="21" t="n"/>
      <c r="C293" s="22" t="n"/>
      <c r="D293" s="24" t="n"/>
    </row>
    <row r="294">
      <c r="A294" s="21" t="n"/>
      <c r="B294" s="21" t="n"/>
      <c r="C294" s="22" t="n"/>
      <c r="D294" s="24" t="n"/>
    </row>
    <row r="295">
      <c r="A295" s="21" t="n"/>
      <c r="B295" s="21" t="n"/>
      <c r="C295" s="22" t="n"/>
      <c r="D295" s="24" t="n"/>
    </row>
    <row r="296">
      <c r="A296" s="21" t="n"/>
      <c r="B296" s="21" t="n"/>
      <c r="C296" s="22" t="n"/>
      <c r="D296" s="24" t="n"/>
    </row>
    <row r="297">
      <c r="A297" s="21" t="n"/>
      <c r="B297" s="21" t="n"/>
      <c r="C297" s="22" t="n"/>
      <c r="D297" s="24" t="n"/>
    </row>
    <row r="298">
      <c r="A298" s="21" t="n"/>
      <c r="B298" s="21" t="n"/>
      <c r="C298" s="22" t="n"/>
      <c r="D298" s="24" t="n"/>
    </row>
    <row r="299">
      <c r="A299" s="21" t="n"/>
      <c r="B299" s="21" t="n"/>
      <c r="C299" s="22" t="n"/>
      <c r="D299" s="24" t="n"/>
    </row>
    <row r="300">
      <c r="A300" s="21" t="n"/>
      <c r="B300" s="21" t="n"/>
      <c r="C300" s="22" t="n"/>
      <c r="D300" s="24" t="n"/>
    </row>
    <row r="301">
      <c r="A301" s="21" t="n"/>
      <c r="B301" s="21" t="n"/>
      <c r="C301" s="22" t="n"/>
      <c r="D301" s="24" t="n"/>
    </row>
    <row r="302">
      <c r="A302" s="21" t="n"/>
      <c r="B302" s="21" t="n"/>
      <c r="C302" s="22" t="n"/>
      <c r="D302" s="24" t="n"/>
    </row>
    <row r="303">
      <c r="A303" s="21" t="n"/>
      <c r="B303" s="21" t="n"/>
      <c r="C303" s="22" t="n"/>
      <c r="D303" s="24" t="n"/>
    </row>
    <row r="304">
      <c r="A304" s="21" t="n"/>
      <c r="B304" s="21" t="n"/>
      <c r="C304" s="22" t="n"/>
      <c r="D304" s="24" t="n"/>
    </row>
  </sheetData>
  <mergeCells count="2">
    <mergeCell ref="A1:D1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2203A"/>
    <outlinePr summaryBelow="1" summaryRight="1"/>
    <pageSetUpPr/>
  </sheetPr>
  <dimension ref="A1:K3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8" customWidth="1" min="3" max="3"/>
    <col width="24" customWidth="1" min="4" max="4"/>
    <col width="10" customWidth="1" min="5" max="5"/>
    <col width="11" customWidth="1" min="6" max="6"/>
    <col width="13" customWidth="1" min="7" max="7"/>
    <col width="15" customWidth="1" min="8" max="8"/>
    <col width="13" customWidth="1" min="9" max="9"/>
    <col width="12" customWidth="1" min="10" max="10"/>
    <col width="13" customWidth="1" min="11" max="11"/>
  </cols>
  <sheetData>
    <row r="1" ht="34" customHeight="1">
      <c r="A1" s="1" t="inlineStr">
        <is>
          <t>Orders  -  Daily Order Book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8" customHeight="1">
      <c r="A2" s="3" t="inlineStr">
        <is>
          <t>Pick client &amp; grade from dropdowns. Rate, value, delivered qty, balance &amp; status auto-calculate.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 ht="30" customHeight="1">
      <c r="A4" s="25" t="inlineStr">
        <is>
          <t>Date</t>
        </is>
      </c>
      <c r="B4" s="25" t="inlineStr">
        <is>
          <t>Order No.</t>
        </is>
      </c>
      <c r="C4" s="25" t="inlineStr">
        <is>
          <t>Client</t>
        </is>
      </c>
      <c r="D4" s="25" t="inlineStr">
        <is>
          <t>Site / Location</t>
        </is>
      </c>
      <c r="E4" s="25" t="inlineStr">
        <is>
          <t>Grade</t>
        </is>
      </c>
      <c r="F4" s="25" t="inlineStr">
        <is>
          <t>Qty (m3)</t>
        </is>
      </c>
      <c r="G4" s="25" t="inlineStr">
        <is>
          <t>Rate (₹/m3)</t>
        </is>
      </c>
      <c r="H4" s="25" t="inlineStr">
        <is>
          <t>Order Value (₹)</t>
        </is>
      </c>
      <c r="I4" s="25" t="inlineStr">
        <is>
          <t>Delivered (m3)</t>
        </is>
      </c>
      <c r="J4" s="25" t="inlineStr">
        <is>
          <t>Balance (m3)</t>
        </is>
      </c>
      <c r="K4" s="25" t="inlineStr">
        <is>
          <t>Status</t>
        </is>
      </c>
    </row>
    <row r="5">
      <c r="A5" s="26" t="inlineStr">
        <is>
          <t>2026-06-22</t>
        </is>
      </c>
      <c r="B5" s="21" t="inlineStr">
        <is>
          <t>ORD-0001</t>
        </is>
      </c>
      <c r="C5" s="21" t="inlineStr">
        <is>
          <t>Skyline Builders Pvt Ltd</t>
        </is>
      </c>
      <c r="D5" s="21" t="inlineStr">
        <is>
          <t>Tower A, Kharadi</t>
        </is>
      </c>
      <c r="E5" s="21" t="inlineStr">
        <is>
          <t>M25</t>
        </is>
      </c>
      <c r="F5" s="22" t="n">
        <v>30</v>
      </c>
      <c r="G5" s="23">
        <f>IFERROR(IF(E5="","",VLOOKUP(E5,'Setup - Mix Design'!$A$5:$I$304,9,0)),"")</f>
        <v/>
      </c>
      <c r="H5" s="23">
        <f>IF(OR(F5="",G5=""),"",F5*G5)</f>
        <v/>
      </c>
      <c r="I5" s="23">
        <f>IF(B5="","",SUMIF('Dispatch (Challan)'!$C$5:$C$304,B5,'Dispatch (Challan)'!$F$5:$F$304))</f>
        <v/>
      </c>
      <c r="J5" s="23">
        <f>IF(F5="","",F5-I5)</f>
        <v/>
      </c>
      <c r="K5" s="23">
        <f>IF(F5="","",IF(I5=0,"Pending",IF(I5&gt;=F5,"Completed","Partial")))</f>
        <v/>
      </c>
    </row>
    <row r="6">
      <c r="A6" s="26" t="inlineStr">
        <is>
          <t>2026-06-22</t>
        </is>
      </c>
      <c r="B6" s="21" t="inlineStr">
        <is>
          <t>ORD-0002</t>
        </is>
      </c>
      <c r="C6" s="21" t="inlineStr">
        <is>
          <t>Greenfield Infra</t>
        </is>
      </c>
      <c r="D6" s="21" t="inlineStr">
        <is>
          <t>Block C, Hinjewadi</t>
        </is>
      </c>
      <c r="E6" s="21" t="inlineStr">
        <is>
          <t>M30</t>
        </is>
      </c>
      <c r="F6" s="22" t="n">
        <v>45</v>
      </c>
      <c r="G6" s="23">
        <f>IFERROR(IF(E6="","",VLOOKUP(E6,'Setup - Mix Design'!$A$5:$I$304,9,0)),"")</f>
        <v/>
      </c>
      <c r="H6" s="23">
        <f>IF(OR(F6="",G6=""),"",F6*G6)</f>
        <v/>
      </c>
      <c r="I6" s="23">
        <f>IF(B6="","",SUMIF('Dispatch (Challan)'!$C$5:$C$304,B6,'Dispatch (Challan)'!$F$5:$F$304))</f>
        <v/>
      </c>
      <c r="J6" s="23">
        <f>IF(F6="","",F6-I6)</f>
        <v/>
      </c>
      <c r="K6" s="23">
        <f>IF(F6="","",IF(I6=0,"Pending",IF(I6&gt;=F6,"Completed","Partial")))</f>
        <v/>
      </c>
    </row>
    <row r="7">
      <c r="A7" s="26" t="inlineStr">
        <is>
          <t>2026-06-23</t>
        </is>
      </c>
      <c r="B7" s="21" t="inlineStr">
        <is>
          <t>ORD-0003</t>
        </is>
      </c>
      <c r="C7" s="21" t="inlineStr">
        <is>
          <t>Metro Constructions</t>
        </is>
      </c>
      <c r="D7" s="21" t="inlineStr">
        <is>
          <t>Metro Pillar 212</t>
        </is>
      </c>
      <c r="E7" s="21" t="inlineStr">
        <is>
          <t>M20</t>
        </is>
      </c>
      <c r="F7" s="22" t="n">
        <v>20</v>
      </c>
      <c r="G7" s="23">
        <f>IFERROR(IF(E7="","",VLOOKUP(E7,'Setup - Mix Design'!$A$5:$I$304,9,0)),"")</f>
        <v/>
      </c>
      <c r="H7" s="23">
        <f>IF(OR(F7="",G7=""),"",F7*G7)</f>
        <v/>
      </c>
      <c r="I7" s="23">
        <f>IF(B7="","",SUMIF('Dispatch (Challan)'!$C$5:$C$304,B7,'Dispatch (Challan)'!$F$5:$F$304))</f>
        <v/>
      </c>
      <c r="J7" s="23">
        <f>IF(F7="","",F7-I7)</f>
        <v/>
      </c>
      <c r="K7" s="23">
        <f>IF(F7="","",IF(I7=0,"Pending",IF(I7&gt;=F7,"Completed","Partial")))</f>
        <v/>
      </c>
    </row>
    <row r="8">
      <c r="A8" s="26" t="n"/>
      <c r="B8" s="21" t="n"/>
      <c r="C8" s="21" t="n"/>
      <c r="D8" s="21" t="n"/>
      <c r="E8" s="21" t="n"/>
      <c r="F8" s="22" t="n"/>
      <c r="G8" s="23">
        <f>IFERROR(IF(E8="","",VLOOKUP(E8,'Setup - Mix Design'!$A$5:$I$304,9,0)),"")</f>
        <v/>
      </c>
      <c r="H8" s="23">
        <f>IF(OR(F8="",G8=""),"",F8*G8)</f>
        <v/>
      </c>
      <c r="I8" s="23">
        <f>IF(B8="","",SUMIF('Dispatch (Challan)'!$C$5:$C$304,B8,'Dispatch (Challan)'!$F$5:$F$304))</f>
        <v/>
      </c>
      <c r="J8" s="23">
        <f>IF(F8="","",F8-I8)</f>
        <v/>
      </c>
      <c r="K8" s="23">
        <f>IF(F8="","",IF(I8=0,"Pending",IF(I8&gt;=F8,"Completed","Partial")))</f>
        <v/>
      </c>
    </row>
    <row r="9">
      <c r="A9" s="26" t="n"/>
      <c r="B9" s="21" t="n"/>
      <c r="C9" s="21" t="n"/>
      <c r="D9" s="21" t="n"/>
      <c r="E9" s="21" t="n"/>
      <c r="F9" s="22" t="n"/>
      <c r="G9" s="23">
        <f>IFERROR(IF(E9="","",VLOOKUP(E9,'Setup - Mix Design'!$A$5:$I$304,9,0)),"")</f>
        <v/>
      </c>
      <c r="H9" s="23">
        <f>IF(OR(F9="",G9=""),"",F9*G9)</f>
        <v/>
      </c>
      <c r="I9" s="23">
        <f>IF(B9="","",SUMIF('Dispatch (Challan)'!$C$5:$C$304,B9,'Dispatch (Challan)'!$F$5:$F$304))</f>
        <v/>
      </c>
      <c r="J9" s="23">
        <f>IF(F9="","",F9-I9)</f>
        <v/>
      </c>
      <c r="K9" s="23">
        <f>IF(F9="","",IF(I9=0,"Pending",IF(I9&gt;=F9,"Completed","Partial")))</f>
        <v/>
      </c>
    </row>
    <row r="10">
      <c r="A10" s="26" t="n"/>
      <c r="B10" s="21" t="n"/>
      <c r="C10" s="21" t="n"/>
      <c r="D10" s="21" t="n"/>
      <c r="E10" s="21" t="n"/>
      <c r="F10" s="22" t="n"/>
      <c r="G10" s="23">
        <f>IFERROR(IF(E10="","",VLOOKUP(E10,'Setup - Mix Design'!$A$5:$I$304,9,0)),"")</f>
        <v/>
      </c>
      <c r="H10" s="23">
        <f>IF(OR(F10="",G10=""),"",F10*G10)</f>
        <v/>
      </c>
      <c r="I10" s="23">
        <f>IF(B10="","",SUMIF('Dispatch (Challan)'!$C$5:$C$304,B10,'Dispatch (Challan)'!$F$5:$F$304))</f>
        <v/>
      </c>
      <c r="J10" s="23">
        <f>IF(F10="","",F10-I10)</f>
        <v/>
      </c>
      <c r="K10" s="23">
        <f>IF(F10="","",IF(I10=0,"Pending",IF(I10&gt;=F10,"Completed","Partial")))</f>
        <v/>
      </c>
    </row>
    <row r="11">
      <c r="A11" s="26" t="n"/>
      <c r="B11" s="21" t="n"/>
      <c r="C11" s="21" t="n"/>
      <c r="D11" s="21" t="n"/>
      <c r="E11" s="21" t="n"/>
      <c r="F11" s="22" t="n"/>
      <c r="G11" s="23">
        <f>IFERROR(IF(E11="","",VLOOKUP(E11,'Setup - Mix Design'!$A$5:$I$304,9,0)),"")</f>
        <v/>
      </c>
      <c r="H11" s="23">
        <f>IF(OR(F11="",G11=""),"",F11*G11)</f>
        <v/>
      </c>
      <c r="I11" s="23">
        <f>IF(B11="","",SUMIF('Dispatch (Challan)'!$C$5:$C$304,B11,'Dispatch (Challan)'!$F$5:$F$304))</f>
        <v/>
      </c>
      <c r="J11" s="23">
        <f>IF(F11="","",F11-I11)</f>
        <v/>
      </c>
      <c r="K11" s="23">
        <f>IF(F11="","",IF(I11=0,"Pending",IF(I11&gt;=F11,"Completed","Partial")))</f>
        <v/>
      </c>
    </row>
    <row r="12">
      <c r="A12" s="26" t="n"/>
      <c r="B12" s="21" t="n"/>
      <c r="C12" s="21" t="n"/>
      <c r="D12" s="21" t="n"/>
      <c r="E12" s="21" t="n"/>
      <c r="F12" s="22" t="n"/>
      <c r="G12" s="23">
        <f>IFERROR(IF(E12="","",VLOOKUP(E12,'Setup - Mix Design'!$A$5:$I$304,9,0)),"")</f>
        <v/>
      </c>
      <c r="H12" s="23">
        <f>IF(OR(F12="",G12=""),"",F12*G12)</f>
        <v/>
      </c>
      <c r="I12" s="23">
        <f>IF(B12="","",SUMIF('Dispatch (Challan)'!$C$5:$C$304,B12,'Dispatch (Challan)'!$F$5:$F$304))</f>
        <v/>
      </c>
      <c r="J12" s="23">
        <f>IF(F12="","",F12-I12)</f>
        <v/>
      </c>
      <c r="K12" s="23">
        <f>IF(F12="","",IF(I12=0,"Pending",IF(I12&gt;=F12,"Completed","Partial")))</f>
        <v/>
      </c>
    </row>
    <row r="13">
      <c r="A13" s="26" t="n"/>
      <c r="B13" s="21" t="n"/>
      <c r="C13" s="21" t="n"/>
      <c r="D13" s="21" t="n"/>
      <c r="E13" s="21" t="n"/>
      <c r="F13" s="22" t="n"/>
      <c r="G13" s="23">
        <f>IFERROR(IF(E13="","",VLOOKUP(E13,'Setup - Mix Design'!$A$5:$I$304,9,0)),"")</f>
        <v/>
      </c>
      <c r="H13" s="23">
        <f>IF(OR(F13="",G13=""),"",F13*G13)</f>
        <v/>
      </c>
      <c r="I13" s="23">
        <f>IF(B13="","",SUMIF('Dispatch (Challan)'!$C$5:$C$304,B13,'Dispatch (Challan)'!$F$5:$F$304))</f>
        <v/>
      </c>
      <c r="J13" s="23">
        <f>IF(F13="","",F13-I13)</f>
        <v/>
      </c>
      <c r="K13" s="23">
        <f>IF(F13="","",IF(I13=0,"Pending",IF(I13&gt;=F13,"Completed","Partial")))</f>
        <v/>
      </c>
    </row>
    <row r="14">
      <c r="A14" s="26" t="n"/>
      <c r="B14" s="21" t="n"/>
      <c r="C14" s="21" t="n"/>
      <c r="D14" s="21" t="n"/>
      <c r="E14" s="21" t="n"/>
      <c r="F14" s="22" t="n"/>
      <c r="G14" s="23">
        <f>IFERROR(IF(E14="","",VLOOKUP(E14,'Setup - Mix Design'!$A$5:$I$304,9,0)),"")</f>
        <v/>
      </c>
      <c r="H14" s="23">
        <f>IF(OR(F14="",G14=""),"",F14*G14)</f>
        <v/>
      </c>
      <c r="I14" s="23">
        <f>IF(B14="","",SUMIF('Dispatch (Challan)'!$C$5:$C$304,B14,'Dispatch (Challan)'!$F$5:$F$304))</f>
        <v/>
      </c>
      <c r="J14" s="23">
        <f>IF(F14="","",F14-I14)</f>
        <v/>
      </c>
      <c r="K14" s="23">
        <f>IF(F14="","",IF(I14=0,"Pending",IF(I14&gt;=F14,"Completed","Partial")))</f>
        <v/>
      </c>
    </row>
    <row r="15">
      <c r="A15" s="26" t="n"/>
      <c r="B15" s="21" t="n"/>
      <c r="C15" s="21" t="n"/>
      <c r="D15" s="21" t="n"/>
      <c r="E15" s="21" t="n"/>
      <c r="F15" s="22" t="n"/>
      <c r="G15" s="23">
        <f>IFERROR(IF(E15="","",VLOOKUP(E15,'Setup - Mix Design'!$A$5:$I$304,9,0)),"")</f>
        <v/>
      </c>
      <c r="H15" s="23">
        <f>IF(OR(F15="",G15=""),"",F15*G15)</f>
        <v/>
      </c>
      <c r="I15" s="23">
        <f>IF(B15="","",SUMIF('Dispatch (Challan)'!$C$5:$C$304,B15,'Dispatch (Challan)'!$F$5:$F$304))</f>
        <v/>
      </c>
      <c r="J15" s="23">
        <f>IF(F15="","",F15-I15)</f>
        <v/>
      </c>
      <c r="K15" s="23">
        <f>IF(F15="","",IF(I15=0,"Pending",IF(I15&gt;=F15,"Completed","Partial")))</f>
        <v/>
      </c>
    </row>
    <row r="16">
      <c r="A16" s="26" t="n"/>
      <c r="B16" s="21" t="n"/>
      <c r="C16" s="21" t="n"/>
      <c r="D16" s="21" t="n"/>
      <c r="E16" s="21" t="n"/>
      <c r="F16" s="22" t="n"/>
      <c r="G16" s="23">
        <f>IFERROR(IF(E16="","",VLOOKUP(E16,'Setup - Mix Design'!$A$5:$I$304,9,0)),"")</f>
        <v/>
      </c>
      <c r="H16" s="23">
        <f>IF(OR(F16="",G16=""),"",F16*G16)</f>
        <v/>
      </c>
      <c r="I16" s="23">
        <f>IF(B16="","",SUMIF('Dispatch (Challan)'!$C$5:$C$304,B16,'Dispatch (Challan)'!$F$5:$F$304))</f>
        <v/>
      </c>
      <c r="J16" s="23">
        <f>IF(F16="","",F16-I16)</f>
        <v/>
      </c>
      <c r="K16" s="23">
        <f>IF(F16="","",IF(I16=0,"Pending",IF(I16&gt;=F16,"Completed","Partial")))</f>
        <v/>
      </c>
    </row>
    <row r="17">
      <c r="A17" s="26" t="n"/>
      <c r="B17" s="21" t="n"/>
      <c r="C17" s="21" t="n"/>
      <c r="D17" s="21" t="n"/>
      <c r="E17" s="21" t="n"/>
      <c r="F17" s="22" t="n"/>
      <c r="G17" s="23">
        <f>IFERROR(IF(E17="","",VLOOKUP(E17,'Setup - Mix Design'!$A$5:$I$304,9,0)),"")</f>
        <v/>
      </c>
      <c r="H17" s="23">
        <f>IF(OR(F17="",G17=""),"",F17*G17)</f>
        <v/>
      </c>
      <c r="I17" s="23">
        <f>IF(B17="","",SUMIF('Dispatch (Challan)'!$C$5:$C$304,B17,'Dispatch (Challan)'!$F$5:$F$304))</f>
        <v/>
      </c>
      <c r="J17" s="23">
        <f>IF(F17="","",F17-I17)</f>
        <v/>
      </c>
      <c r="K17" s="23">
        <f>IF(F17="","",IF(I17=0,"Pending",IF(I17&gt;=F17,"Completed","Partial")))</f>
        <v/>
      </c>
    </row>
    <row r="18">
      <c r="A18" s="26" t="n"/>
      <c r="B18" s="21" t="n"/>
      <c r="C18" s="21" t="n"/>
      <c r="D18" s="21" t="n"/>
      <c r="E18" s="21" t="n"/>
      <c r="F18" s="22" t="n"/>
      <c r="G18" s="23">
        <f>IFERROR(IF(E18="","",VLOOKUP(E18,'Setup - Mix Design'!$A$5:$I$304,9,0)),"")</f>
        <v/>
      </c>
      <c r="H18" s="23">
        <f>IF(OR(F18="",G18=""),"",F18*G18)</f>
        <v/>
      </c>
      <c r="I18" s="23">
        <f>IF(B18="","",SUMIF('Dispatch (Challan)'!$C$5:$C$304,B18,'Dispatch (Challan)'!$F$5:$F$304))</f>
        <v/>
      </c>
      <c r="J18" s="23">
        <f>IF(F18="","",F18-I18)</f>
        <v/>
      </c>
      <c r="K18" s="23">
        <f>IF(F18="","",IF(I18=0,"Pending",IF(I18&gt;=F18,"Completed","Partial")))</f>
        <v/>
      </c>
    </row>
    <row r="19">
      <c r="A19" s="26" t="n"/>
      <c r="B19" s="21" t="n"/>
      <c r="C19" s="21" t="n"/>
      <c r="D19" s="21" t="n"/>
      <c r="E19" s="21" t="n"/>
      <c r="F19" s="22" t="n"/>
      <c r="G19" s="23">
        <f>IFERROR(IF(E19="","",VLOOKUP(E19,'Setup - Mix Design'!$A$5:$I$304,9,0)),"")</f>
        <v/>
      </c>
      <c r="H19" s="23">
        <f>IF(OR(F19="",G19=""),"",F19*G19)</f>
        <v/>
      </c>
      <c r="I19" s="23">
        <f>IF(B19="","",SUMIF('Dispatch (Challan)'!$C$5:$C$304,B19,'Dispatch (Challan)'!$F$5:$F$304))</f>
        <v/>
      </c>
      <c r="J19" s="23">
        <f>IF(F19="","",F19-I19)</f>
        <v/>
      </c>
      <c r="K19" s="23">
        <f>IF(F19="","",IF(I19=0,"Pending",IF(I19&gt;=F19,"Completed","Partial")))</f>
        <v/>
      </c>
    </row>
    <row r="20">
      <c r="A20" s="26" t="n"/>
      <c r="B20" s="21" t="n"/>
      <c r="C20" s="21" t="n"/>
      <c r="D20" s="21" t="n"/>
      <c r="E20" s="21" t="n"/>
      <c r="F20" s="22" t="n"/>
      <c r="G20" s="23">
        <f>IFERROR(IF(E20="","",VLOOKUP(E20,'Setup - Mix Design'!$A$5:$I$304,9,0)),"")</f>
        <v/>
      </c>
      <c r="H20" s="23">
        <f>IF(OR(F20="",G20=""),"",F20*G20)</f>
        <v/>
      </c>
      <c r="I20" s="23">
        <f>IF(B20="","",SUMIF('Dispatch (Challan)'!$C$5:$C$304,B20,'Dispatch (Challan)'!$F$5:$F$304))</f>
        <v/>
      </c>
      <c r="J20" s="23">
        <f>IF(F20="","",F20-I20)</f>
        <v/>
      </c>
      <c r="K20" s="23">
        <f>IF(F20="","",IF(I20=0,"Pending",IF(I20&gt;=F20,"Completed","Partial")))</f>
        <v/>
      </c>
    </row>
    <row r="21">
      <c r="A21" s="26" t="n"/>
      <c r="B21" s="21" t="n"/>
      <c r="C21" s="21" t="n"/>
      <c r="D21" s="21" t="n"/>
      <c r="E21" s="21" t="n"/>
      <c r="F21" s="22" t="n"/>
      <c r="G21" s="23">
        <f>IFERROR(IF(E21="","",VLOOKUP(E21,'Setup - Mix Design'!$A$5:$I$304,9,0)),"")</f>
        <v/>
      </c>
      <c r="H21" s="23">
        <f>IF(OR(F21="",G21=""),"",F21*G21)</f>
        <v/>
      </c>
      <c r="I21" s="23">
        <f>IF(B21="","",SUMIF('Dispatch (Challan)'!$C$5:$C$304,B21,'Dispatch (Challan)'!$F$5:$F$304))</f>
        <v/>
      </c>
      <c r="J21" s="23">
        <f>IF(F21="","",F21-I21)</f>
        <v/>
      </c>
      <c r="K21" s="23">
        <f>IF(F21="","",IF(I21=0,"Pending",IF(I21&gt;=F21,"Completed","Partial")))</f>
        <v/>
      </c>
    </row>
    <row r="22">
      <c r="A22" s="26" t="n"/>
      <c r="B22" s="21" t="n"/>
      <c r="C22" s="21" t="n"/>
      <c r="D22" s="21" t="n"/>
      <c r="E22" s="21" t="n"/>
      <c r="F22" s="22" t="n"/>
      <c r="G22" s="23">
        <f>IFERROR(IF(E22="","",VLOOKUP(E22,'Setup - Mix Design'!$A$5:$I$304,9,0)),"")</f>
        <v/>
      </c>
      <c r="H22" s="23">
        <f>IF(OR(F22="",G22=""),"",F22*G22)</f>
        <v/>
      </c>
      <c r="I22" s="23">
        <f>IF(B22="","",SUMIF('Dispatch (Challan)'!$C$5:$C$304,B22,'Dispatch (Challan)'!$F$5:$F$304))</f>
        <v/>
      </c>
      <c r="J22" s="23">
        <f>IF(F22="","",F22-I22)</f>
        <v/>
      </c>
      <c r="K22" s="23">
        <f>IF(F22="","",IF(I22=0,"Pending",IF(I22&gt;=F22,"Completed","Partial")))</f>
        <v/>
      </c>
    </row>
    <row r="23">
      <c r="A23" s="26" t="n"/>
      <c r="B23" s="21" t="n"/>
      <c r="C23" s="21" t="n"/>
      <c r="D23" s="21" t="n"/>
      <c r="E23" s="21" t="n"/>
      <c r="F23" s="22" t="n"/>
      <c r="G23" s="23">
        <f>IFERROR(IF(E23="","",VLOOKUP(E23,'Setup - Mix Design'!$A$5:$I$304,9,0)),"")</f>
        <v/>
      </c>
      <c r="H23" s="23">
        <f>IF(OR(F23="",G23=""),"",F23*G23)</f>
        <v/>
      </c>
      <c r="I23" s="23">
        <f>IF(B23="","",SUMIF('Dispatch (Challan)'!$C$5:$C$304,B23,'Dispatch (Challan)'!$F$5:$F$304))</f>
        <v/>
      </c>
      <c r="J23" s="23">
        <f>IF(F23="","",F23-I23)</f>
        <v/>
      </c>
      <c r="K23" s="23">
        <f>IF(F23="","",IF(I23=0,"Pending",IF(I23&gt;=F23,"Completed","Partial")))</f>
        <v/>
      </c>
    </row>
    <row r="24">
      <c r="A24" s="26" t="n"/>
      <c r="B24" s="21" t="n"/>
      <c r="C24" s="21" t="n"/>
      <c r="D24" s="21" t="n"/>
      <c r="E24" s="21" t="n"/>
      <c r="F24" s="22" t="n"/>
      <c r="G24" s="23">
        <f>IFERROR(IF(E24="","",VLOOKUP(E24,'Setup - Mix Design'!$A$5:$I$304,9,0)),"")</f>
        <v/>
      </c>
      <c r="H24" s="23">
        <f>IF(OR(F24="",G24=""),"",F24*G24)</f>
        <v/>
      </c>
      <c r="I24" s="23">
        <f>IF(B24="","",SUMIF('Dispatch (Challan)'!$C$5:$C$304,B24,'Dispatch (Challan)'!$F$5:$F$304))</f>
        <v/>
      </c>
      <c r="J24" s="23">
        <f>IF(F24="","",F24-I24)</f>
        <v/>
      </c>
      <c r="K24" s="23">
        <f>IF(F24="","",IF(I24=0,"Pending",IF(I24&gt;=F24,"Completed","Partial")))</f>
        <v/>
      </c>
    </row>
    <row r="25">
      <c r="A25" s="26" t="n"/>
      <c r="B25" s="21" t="n"/>
      <c r="C25" s="21" t="n"/>
      <c r="D25" s="21" t="n"/>
      <c r="E25" s="21" t="n"/>
      <c r="F25" s="22" t="n"/>
      <c r="G25" s="23">
        <f>IFERROR(IF(E25="","",VLOOKUP(E25,'Setup - Mix Design'!$A$5:$I$304,9,0)),"")</f>
        <v/>
      </c>
      <c r="H25" s="23">
        <f>IF(OR(F25="",G25=""),"",F25*G25)</f>
        <v/>
      </c>
      <c r="I25" s="23">
        <f>IF(B25="","",SUMIF('Dispatch (Challan)'!$C$5:$C$304,B25,'Dispatch (Challan)'!$F$5:$F$304))</f>
        <v/>
      </c>
      <c r="J25" s="23">
        <f>IF(F25="","",F25-I25)</f>
        <v/>
      </c>
      <c r="K25" s="23">
        <f>IF(F25="","",IF(I25=0,"Pending",IF(I25&gt;=F25,"Completed","Partial")))</f>
        <v/>
      </c>
    </row>
    <row r="26">
      <c r="A26" s="26" t="n"/>
      <c r="B26" s="21" t="n"/>
      <c r="C26" s="21" t="n"/>
      <c r="D26" s="21" t="n"/>
      <c r="E26" s="21" t="n"/>
      <c r="F26" s="22" t="n"/>
      <c r="G26" s="23">
        <f>IFERROR(IF(E26="","",VLOOKUP(E26,'Setup - Mix Design'!$A$5:$I$304,9,0)),"")</f>
        <v/>
      </c>
      <c r="H26" s="23">
        <f>IF(OR(F26="",G26=""),"",F26*G26)</f>
        <v/>
      </c>
      <c r="I26" s="23">
        <f>IF(B26="","",SUMIF('Dispatch (Challan)'!$C$5:$C$304,B26,'Dispatch (Challan)'!$F$5:$F$304))</f>
        <v/>
      </c>
      <c r="J26" s="23">
        <f>IF(F26="","",F26-I26)</f>
        <v/>
      </c>
      <c r="K26" s="23">
        <f>IF(F26="","",IF(I26=0,"Pending",IF(I26&gt;=F26,"Completed","Partial")))</f>
        <v/>
      </c>
    </row>
    <row r="27">
      <c r="A27" s="26" t="n"/>
      <c r="B27" s="21" t="n"/>
      <c r="C27" s="21" t="n"/>
      <c r="D27" s="21" t="n"/>
      <c r="E27" s="21" t="n"/>
      <c r="F27" s="22" t="n"/>
      <c r="G27" s="23">
        <f>IFERROR(IF(E27="","",VLOOKUP(E27,'Setup - Mix Design'!$A$5:$I$304,9,0)),"")</f>
        <v/>
      </c>
      <c r="H27" s="23">
        <f>IF(OR(F27="",G27=""),"",F27*G27)</f>
        <v/>
      </c>
      <c r="I27" s="23">
        <f>IF(B27="","",SUMIF('Dispatch (Challan)'!$C$5:$C$304,B27,'Dispatch (Challan)'!$F$5:$F$304))</f>
        <v/>
      </c>
      <c r="J27" s="23">
        <f>IF(F27="","",F27-I27)</f>
        <v/>
      </c>
      <c r="K27" s="23">
        <f>IF(F27="","",IF(I27=0,"Pending",IF(I27&gt;=F27,"Completed","Partial")))</f>
        <v/>
      </c>
    </row>
    <row r="28">
      <c r="A28" s="26" t="n"/>
      <c r="B28" s="21" t="n"/>
      <c r="C28" s="21" t="n"/>
      <c r="D28" s="21" t="n"/>
      <c r="E28" s="21" t="n"/>
      <c r="F28" s="22" t="n"/>
      <c r="G28" s="23">
        <f>IFERROR(IF(E28="","",VLOOKUP(E28,'Setup - Mix Design'!$A$5:$I$304,9,0)),"")</f>
        <v/>
      </c>
      <c r="H28" s="23">
        <f>IF(OR(F28="",G28=""),"",F28*G28)</f>
        <v/>
      </c>
      <c r="I28" s="23">
        <f>IF(B28="","",SUMIF('Dispatch (Challan)'!$C$5:$C$304,B28,'Dispatch (Challan)'!$F$5:$F$304))</f>
        <v/>
      </c>
      <c r="J28" s="23">
        <f>IF(F28="","",F28-I28)</f>
        <v/>
      </c>
      <c r="K28" s="23">
        <f>IF(F28="","",IF(I28=0,"Pending",IF(I28&gt;=F28,"Completed","Partial")))</f>
        <v/>
      </c>
    </row>
    <row r="29">
      <c r="A29" s="26" t="n"/>
      <c r="B29" s="21" t="n"/>
      <c r="C29" s="21" t="n"/>
      <c r="D29" s="21" t="n"/>
      <c r="E29" s="21" t="n"/>
      <c r="F29" s="22" t="n"/>
      <c r="G29" s="23">
        <f>IFERROR(IF(E29="","",VLOOKUP(E29,'Setup - Mix Design'!$A$5:$I$304,9,0)),"")</f>
        <v/>
      </c>
      <c r="H29" s="23">
        <f>IF(OR(F29="",G29=""),"",F29*G29)</f>
        <v/>
      </c>
      <c r="I29" s="23">
        <f>IF(B29="","",SUMIF('Dispatch (Challan)'!$C$5:$C$304,B29,'Dispatch (Challan)'!$F$5:$F$304))</f>
        <v/>
      </c>
      <c r="J29" s="23">
        <f>IF(F29="","",F29-I29)</f>
        <v/>
      </c>
      <c r="K29" s="23">
        <f>IF(F29="","",IF(I29=0,"Pending",IF(I29&gt;=F29,"Completed","Partial")))</f>
        <v/>
      </c>
    </row>
    <row r="30">
      <c r="A30" s="26" t="n"/>
      <c r="B30" s="21" t="n"/>
      <c r="C30" s="21" t="n"/>
      <c r="D30" s="21" t="n"/>
      <c r="E30" s="21" t="n"/>
      <c r="F30" s="22" t="n"/>
      <c r="G30" s="23">
        <f>IFERROR(IF(E30="","",VLOOKUP(E30,'Setup - Mix Design'!$A$5:$I$304,9,0)),"")</f>
        <v/>
      </c>
      <c r="H30" s="23">
        <f>IF(OR(F30="",G30=""),"",F30*G30)</f>
        <v/>
      </c>
      <c r="I30" s="23">
        <f>IF(B30="","",SUMIF('Dispatch (Challan)'!$C$5:$C$304,B30,'Dispatch (Challan)'!$F$5:$F$304))</f>
        <v/>
      </c>
      <c r="J30" s="23">
        <f>IF(F30="","",F30-I30)</f>
        <v/>
      </c>
      <c r="K30" s="23">
        <f>IF(F30="","",IF(I30=0,"Pending",IF(I30&gt;=F30,"Completed","Partial")))</f>
        <v/>
      </c>
    </row>
    <row r="31">
      <c r="A31" s="26" t="n"/>
      <c r="B31" s="21" t="n"/>
      <c r="C31" s="21" t="n"/>
      <c r="D31" s="21" t="n"/>
      <c r="E31" s="21" t="n"/>
      <c r="F31" s="22" t="n"/>
      <c r="G31" s="23">
        <f>IFERROR(IF(E31="","",VLOOKUP(E31,'Setup - Mix Design'!$A$5:$I$304,9,0)),"")</f>
        <v/>
      </c>
      <c r="H31" s="23">
        <f>IF(OR(F31="",G31=""),"",F31*G31)</f>
        <v/>
      </c>
      <c r="I31" s="23">
        <f>IF(B31="","",SUMIF('Dispatch (Challan)'!$C$5:$C$304,B31,'Dispatch (Challan)'!$F$5:$F$304))</f>
        <v/>
      </c>
      <c r="J31" s="23">
        <f>IF(F31="","",F31-I31)</f>
        <v/>
      </c>
      <c r="K31" s="23">
        <f>IF(F31="","",IF(I31=0,"Pending",IF(I31&gt;=F31,"Completed","Partial")))</f>
        <v/>
      </c>
    </row>
    <row r="32">
      <c r="A32" s="26" t="n"/>
      <c r="B32" s="21" t="n"/>
      <c r="C32" s="21" t="n"/>
      <c r="D32" s="21" t="n"/>
      <c r="E32" s="21" t="n"/>
      <c r="F32" s="22" t="n"/>
      <c r="G32" s="23">
        <f>IFERROR(IF(E32="","",VLOOKUP(E32,'Setup - Mix Design'!$A$5:$I$304,9,0)),"")</f>
        <v/>
      </c>
      <c r="H32" s="23">
        <f>IF(OR(F32="",G32=""),"",F32*G32)</f>
        <v/>
      </c>
      <c r="I32" s="23">
        <f>IF(B32="","",SUMIF('Dispatch (Challan)'!$C$5:$C$304,B32,'Dispatch (Challan)'!$F$5:$F$304))</f>
        <v/>
      </c>
      <c r="J32" s="23">
        <f>IF(F32="","",F32-I32)</f>
        <v/>
      </c>
      <c r="K32" s="23">
        <f>IF(F32="","",IF(I32=0,"Pending",IF(I32&gt;=F32,"Completed","Partial")))</f>
        <v/>
      </c>
    </row>
    <row r="33">
      <c r="A33" s="26" t="n"/>
      <c r="B33" s="21" t="n"/>
      <c r="C33" s="21" t="n"/>
      <c r="D33" s="21" t="n"/>
      <c r="E33" s="21" t="n"/>
      <c r="F33" s="22" t="n"/>
      <c r="G33" s="23">
        <f>IFERROR(IF(E33="","",VLOOKUP(E33,'Setup - Mix Design'!$A$5:$I$304,9,0)),"")</f>
        <v/>
      </c>
      <c r="H33" s="23">
        <f>IF(OR(F33="",G33=""),"",F33*G33)</f>
        <v/>
      </c>
      <c r="I33" s="23">
        <f>IF(B33="","",SUMIF('Dispatch (Challan)'!$C$5:$C$304,B33,'Dispatch (Challan)'!$F$5:$F$304))</f>
        <v/>
      </c>
      <c r="J33" s="23">
        <f>IF(F33="","",F33-I33)</f>
        <v/>
      </c>
      <c r="K33" s="23">
        <f>IF(F33="","",IF(I33=0,"Pending",IF(I33&gt;=F33,"Completed","Partial")))</f>
        <v/>
      </c>
    </row>
    <row r="34">
      <c r="A34" s="26" t="n"/>
      <c r="B34" s="21" t="n"/>
      <c r="C34" s="21" t="n"/>
      <c r="D34" s="21" t="n"/>
      <c r="E34" s="21" t="n"/>
      <c r="F34" s="22" t="n"/>
      <c r="G34" s="23">
        <f>IFERROR(IF(E34="","",VLOOKUP(E34,'Setup - Mix Design'!$A$5:$I$304,9,0)),"")</f>
        <v/>
      </c>
      <c r="H34" s="23">
        <f>IF(OR(F34="",G34=""),"",F34*G34)</f>
        <v/>
      </c>
      <c r="I34" s="23">
        <f>IF(B34="","",SUMIF('Dispatch (Challan)'!$C$5:$C$304,B34,'Dispatch (Challan)'!$F$5:$F$304))</f>
        <v/>
      </c>
      <c r="J34" s="23">
        <f>IF(F34="","",F34-I34)</f>
        <v/>
      </c>
      <c r="K34" s="23">
        <f>IF(F34="","",IF(I34=0,"Pending",IF(I34&gt;=F34,"Completed","Partial")))</f>
        <v/>
      </c>
    </row>
    <row r="35">
      <c r="A35" s="26" t="n"/>
      <c r="B35" s="21" t="n"/>
      <c r="C35" s="21" t="n"/>
      <c r="D35" s="21" t="n"/>
      <c r="E35" s="21" t="n"/>
      <c r="F35" s="22" t="n"/>
      <c r="G35" s="23">
        <f>IFERROR(IF(E35="","",VLOOKUP(E35,'Setup - Mix Design'!$A$5:$I$304,9,0)),"")</f>
        <v/>
      </c>
      <c r="H35" s="23">
        <f>IF(OR(F35="",G35=""),"",F35*G35)</f>
        <v/>
      </c>
      <c r="I35" s="23">
        <f>IF(B35="","",SUMIF('Dispatch (Challan)'!$C$5:$C$304,B35,'Dispatch (Challan)'!$F$5:$F$304))</f>
        <v/>
      </c>
      <c r="J35" s="23">
        <f>IF(F35="","",F35-I35)</f>
        <v/>
      </c>
      <c r="K35" s="23">
        <f>IF(F35="","",IF(I35=0,"Pending",IF(I35&gt;=F35,"Completed","Partial")))</f>
        <v/>
      </c>
    </row>
    <row r="36">
      <c r="A36" s="26" t="n"/>
      <c r="B36" s="21" t="n"/>
      <c r="C36" s="21" t="n"/>
      <c r="D36" s="21" t="n"/>
      <c r="E36" s="21" t="n"/>
      <c r="F36" s="22" t="n"/>
      <c r="G36" s="23">
        <f>IFERROR(IF(E36="","",VLOOKUP(E36,'Setup - Mix Design'!$A$5:$I$304,9,0)),"")</f>
        <v/>
      </c>
      <c r="H36" s="23">
        <f>IF(OR(F36="",G36=""),"",F36*G36)</f>
        <v/>
      </c>
      <c r="I36" s="23">
        <f>IF(B36="","",SUMIF('Dispatch (Challan)'!$C$5:$C$304,B36,'Dispatch (Challan)'!$F$5:$F$304))</f>
        <v/>
      </c>
      <c r="J36" s="23">
        <f>IF(F36="","",F36-I36)</f>
        <v/>
      </c>
      <c r="K36" s="23">
        <f>IF(F36="","",IF(I36=0,"Pending",IF(I36&gt;=F36,"Completed","Partial")))</f>
        <v/>
      </c>
    </row>
    <row r="37">
      <c r="A37" s="26" t="n"/>
      <c r="B37" s="21" t="n"/>
      <c r="C37" s="21" t="n"/>
      <c r="D37" s="21" t="n"/>
      <c r="E37" s="21" t="n"/>
      <c r="F37" s="22" t="n"/>
      <c r="G37" s="23">
        <f>IFERROR(IF(E37="","",VLOOKUP(E37,'Setup - Mix Design'!$A$5:$I$304,9,0)),"")</f>
        <v/>
      </c>
      <c r="H37" s="23">
        <f>IF(OR(F37="",G37=""),"",F37*G37)</f>
        <v/>
      </c>
      <c r="I37" s="23">
        <f>IF(B37="","",SUMIF('Dispatch (Challan)'!$C$5:$C$304,B37,'Dispatch (Challan)'!$F$5:$F$304))</f>
        <v/>
      </c>
      <c r="J37" s="23">
        <f>IF(F37="","",F37-I37)</f>
        <v/>
      </c>
      <c r="K37" s="23">
        <f>IF(F37="","",IF(I37=0,"Pending",IF(I37&gt;=F37,"Completed","Partial")))</f>
        <v/>
      </c>
    </row>
    <row r="38">
      <c r="A38" s="26" t="n"/>
      <c r="B38" s="21" t="n"/>
      <c r="C38" s="21" t="n"/>
      <c r="D38" s="21" t="n"/>
      <c r="E38" s="21" t="n"/>
      <c r="F38" s="22" t="n"/>
      <c r="G38" s="23">
        <f>IFERROR(IF(E38="","",VLOOKUP(E38,'Setup - Mix Design'!$A$5:$I$304,9,0)),"")</f>
        <v/>
      </c>
      <c r="H38" s="23">
        <f>IF(OR(F38="",G38=""),"",F38*G38)</f>
        <v/>
      </c>
      <c r="I38" s="23">
        <f>IF(B38="","",SUMIF('Dispatch (Challan)'!$C$5:$C$304,B38,'Dispatch (Challan)'!$F$5:$F$304))</f>
        <v/>
      </c>
      <c r="J38" s="23">
        <f>IF(F38="","",F38-I38)</f>
        <v/>
      </c>
      <c r="K38" s="23">
        <f>IF(F38="","",IF(I38=0,"Pending",IF(I38&gt;=F38,"Completed","Partial")))</f>
        <v/>
      </c>
    </row>
    <row r="39">
      <c r="A39" s="26" t="n"/>
      <c r="B39" s="21" t="n"/>
      <c r="C39" s="21" t="n"/>
      <c r="D39" s="21" t="n"/>
      <c r="E39" s="21" t="n"/>
      <c r="F39" s="22" t="n"/>
      <c r="G39" s="23">
        <f>IFERROR(IF(E39="","",VLOOKUP(E39,'Setup - Mix Design'!$A$5:$I$304,9,0)),"")</f>
        <v/>
      </c>
      <c r="H39" s="23">
        <f>IF(OR(F39="",G39=""),"",F39*G39)</f>
        <v/>
      </c>
      <c r="I39" s="23">
        <f>IF(B39="","",SUMIF('Dispatch (Challan)'!$C$5:$C$304,B39,'Dispatch (Challan)'!$F$5:$F$304))</f>
        <v/>
      </c>
      <c r="J39" s="23">
        <f>IF(F39="","",F39-I39)</f>
        <v/>
      </c>
      <c r="K39" s="23">
        <f>IF(F39="","",IF(I39=0,"Pending",IF(I39&gt;=F39,"Completed","Partial")))</f>
        <v/>
      </c>
    </row>
    <row r="40">
      <c r="A40" s="26" t="n"/>
      <c r="B40" s="21" t="n"/>
      <c r="C40" s="21" t="n"/>
      <c r="D40" s="21" t="n"/>
      <c r="E40" s="21" t="n"/>
      <c r="F40" s="22" t="n"/>
      <c r="G40" s="23">
        <f>IFERROR(IF(E40="","",VLOOKUP(E40,'Setup - Mix Design'!$A$5:$I$304,9,0)),"")</f>
        <v/>
      </c>
      <c r="H40" s="23">
        <f>IF(OR(F40="",G40=""),"",F40*G40)</f>
        <v/>
      </c>
      <c r="I40" s="23">
        <f>IF(B40="","",SUMIF('Dispatch (Challan)'!$C$5:$C$304,B40,'Dispatch (Challan)'!$F$5:$F$304))</f>
        <v/>
      </c>
      <c r="J40" s="23">
        <f>IF(F40="","",F40-I40)</f>
        <v/>
      </c>
      <c r="K40" s="23">
        <f>IF(F40="","",IF(I40=0,"Pending",IF(I40&gt;=F40,"Completed","Partial")))</f>
        <v/>
      </c>
    </row>
    <row r="41">
      <c r="A41" s="26" t="n"/>
      <c r="B41" s="21" t="n"/>
      <c r="C41" s="21" t="n"/>
      <c r="D41" s="21" t="n"/>
      <c r="E41" s="21" t="n"/>
      <c r="F41" s="22" t="n"/>
      <c r="G41" s="23">
        <f>IFERROR(IF(E41="","",VLOOKUP(E41,'Setup - Mix Design'!$A$5:$I$304,9,0)),"")</f>
        <v/>
      </c>
      <c r="H41" s="23">
        <f>IF(OR(F41="",G41=""),"",F41*G41)</f>
        <v/>
      </c>
      <c r="I41" s="23">
        <f>IF(B41="","",SUMIF('Dispatch (Challan)'!$C$5:$C$304,B41,'Dispatch (Challan)'!$F$5:$F$304))</f>
        <v/>
      </c>
      <c r="J41" s="23">
        <f>IF(F41="","",F41-I41)</f>
        <v/>
      </c>
      <c r="K41" s="23">
        <f>IF(F41="","",IF(I41=0,"Pending",IF(I41&gt;=F41,"Completed","Partial")))</f>
        <v/>
      </c>
    </row>
    <row r="42">
      <c r="A42" s="26" t="n"/>
      <c r="B42" s="21" t="n"/>
      <c r="C42" s="21" t="n"/>
      <c r="D42" s="21" t="n"/>
      <c r="E42" s="21" t="n"/>
      <c r="F42" s="22" t="n"/>
      <c r="G42" s="23">
        <f>IFERROR(IF(E42="","",VLOOKUP(E42,'Setup - Mix Design'!$A$5:$I$304,9,0)),"")</f>
        <v/>
      </c>
      <c r="H42" s="23">
        <f>IF(OR(F42="",G42=""),"",F42*G42)</f>
        <v/>
      </c>
      <c r="I42" s="23">
        <f>IF(B42="","",SUMIF('Dispatch (Challan)'!$C$5:$C$304,B42,'Dispatch (Challan)'!$F$5:$F$304))</f>
        <v/>
      </c>
      <c r="J42" s="23">
        <f>IF(F42="","",F42-I42)</f>
        <v/>
      </c>
      <c r="K42" s="23">
        <f>IF(F42="","",IF(I42=0,"Pending",IF(I42&gt;=F42,"Completed","Partial")))</f>
        <v/>
      </c>
    </row>
    <row r="43">
      <c r="A43" s="26" t="n"/>
      <c r="B43" s="21" t="n"/>
      <c r="C43" s="21" t="n"/>
      <c r="D43" s="21" t="n"/>
      <c r="E43" s="21" t="n"/>
      <c r="F43" s="22" t="n"/>
      <c r="G43" s="23">
        <f>IFERROR(IF(E43="","",VLOOKUP(E43,'Setup - Mix Design'!$A$5:$I$304,9,0)),"")</f>
        <v/>
      </c>
      <c r="H43" s="23">
        <f>IF(OR(F43="",G43=""),"",F43*G43)</f>
        <v/>
      </c>
      <c r="I43" s="23">
        <f>IF(B43="","",SUMIF('Dispatch (Challan)'!$C$5:$C$304,B43,'Dispatch (Challan)'!$F$5:$F$304))</f>
        <v/>
      </c>
      <c r="J43" s="23">
        <f>IF(F43="","",F43-I43)</f>
        <v/>
      </c>
      <c r="K43" s="23">
        <f>IF(F43="","",IF(I43=0,"Pending",IF(I43&gt;=F43,"Completed","Partial")))</f>
        <v/>
      </c>
    </row>
    <row r="44">
      <c r="A44" s="26" t="n"/>
      <c r="B44" s="21" t="n"/>
      <c r="C44" s="21" t="n"/>
      <c r="D44" s="21" t="n"/>
      <c r="E44" s="21" t="n"/>
      <c r="F44" s="22" t="n"/>
      <c r="G44" s="23">
        <f>IFERROR(IF(E44="","",VLOOKUP(E44,'Setup - Mix Design'!$A$5:$I$304,9,0)),"")</f>
        <v/>
      </c>
      <c r="H44" s="23">
        <f>IF(OR(F44="",G44=""),"",F44*G44)</f>
        <v/>
      </c>
      <c r="I44" s="23">
        <f>IF(B44="","",SUMIF('Dispatch (Challan)'!$C$5:$C$304,B44,'Dispatch (Challan)'!$F$5:$F$304))</f>
        <v/>
      </c>
      <c r="J44" s="23">
        <f>IF(F44="","",F44-I44)</f>
        <v/>
      </c>
      <c r="K44" s="23">
        <f>IF(F44="","",IF(I44=0,"Pending",IF(I44&gt;=F44,"Completed","Partial")))</f>
        <v/>
      </c>
    </row>
    <row r="45">
      <c r="A45" s="26" t="n"/>
      <c r="B45" s="21" t="n"/>
      <c r="C45" s="21" t="n"/>
      <c r="D45" s="21" t="n"/>
      <c r="E45" s="21" t="n"/>
      <c r="F45" s="22" t="n"/>
      <c r="G45" s="23">
        <f>IFERROR(IF(E45="","",VLOOKUP(E45,'Setup - Mix Design'!$A$5:$I$304,9,0)),"")</f>
        <v/>
      </c>
      <c r="H45" s="23">
        <f>IF(OR(F45="",G45=""),"",F45*G45)</f>
        <v/>
      </c>
      <c r="I45" s="23">
        <f>IF(B45="","",SUMIF('Dispatch (Challan)'!$C$5:$C$304,B45,'Dispatch (Challan)'!$F$5:$F$304))</f>
        <v/>
      </c>
      <c r="J45" s="23">
        <f>IF(F45="","",F45-I45)</f>
        <v/>
      </c>
      <c r="K45" s="23">
        <f>IF(F45="","",IF(I45=0,"Pending",IF(I45&gt;=F45,"Completed","Partial")))</f>
        <v/>
      </c>
    </row>
    <row r="46">
      <c r="A46" s="26" t="n"/>
      <c r="B46" s="21" t="n"/>
      <c r="C46" s="21" t="n"/>
      <c r="D46" s="21" t="n"/>
      <c r="E46" s="21" t="n"/>
      <c r="F46" s="22" t="n"/>
      <c r="G46" s="23">
        <f>IFERROR(IF(E46="","",VLOOKUP(E46,'Setup - Mix Design'!$A$5:$I$304,9,0)),"")</f>
        <v/>
      </c>
      <c r="H46" s="23">
        <f>IF(OR(F46="",G46=""),"",F46*G46)</f>
        <v/>
      </c>
      <c r="I46" s="23">
        <f>IF(B46="","",SUMIF('Dispatch (Challan)'!$C$5:$C$304,B46,'Dispatch (Challan)'!$F$5:$F$304))</f>
        <v/>
      </c>
      <c r="J46" s="23">
        <f>IF(F46="","",F46-I46)</f>
        <v/>
      </c>
      <c r="K46" s="23">
        <f>IF(F46="","",IF(I46=0,"Pending",IF(I46&gt;=F46,"Completed","Partial")))</f>
        <v/>
      </c>
    </row>
    <row r="47">
      <c r="A47" s="26" t="n"/>
      <c r="B47" s="21" t="n"/>
      <c r="C47" s="21" t="n"/>
      <c r="D47" s="21" t="n"/>
      <c r="E47" s="21" t="n"/>
      <c r="F47" s="22" t="n"/>
      <c r="G47" s="23">
        <f>IFERROR(IF(E47="","",VLOOKUP(E47,'Setup - Mix Design'!$A$5:$I$304,9,0)),"")</f>
        <v/>
      </c>
      <c r="H47" s="23">
        <f>IF(OR(F47="",G47=""),"",F47*G47)</f>
        <v/>
      </c>
      <c r="I47" s="23">
        <f>IF(B47="","",SUMIF('Dispatch (Challan)'!$C$5:$C$304,B47,'Dispatch (Challan)'!$F$5:$F$304))</f>
        <v/>
      </c>
      <c r="J47" s="23">
        <f>IF(F47="","",F47-I47)</f>
        <v/>
      </c>
      <c r="K47" s="23">
        <f>IF(F47="","",IF(I47=0,"Pending",IF(I47&gt;=F47,"Completed","Partial")))</f>
        <v/>
      </c>
    </row>
    <row r="48">
      <c r="A48" s="26" t="n"/>
      <c r="B48" s="21" t="n"/>
      <c r="C48" s="21" t="n"/>
      <c r="D48" s="21" t="n"/>
      <c r="E48" s="21" t="n"/>
      <c r="F48" s="22" t="n"/>
      <c r="G48" s="23">
        <f>IFERROR(IF(E48="","",VLOOKUP(E48,'Setup - Mix Design'!$A$5:$I$304,9,0)),"")</f>
        <v/>
      </c>
      <c r="H48" s="23">
        <f>IF(OR(F48="",G48=""),"",F48*G48)</f>
        <v/>
      </c>
      <c r="I48" s="23">
        <f>IF(B48="","",SUMIF('Dispatch (Challan)'!$C$5:$C$304,B48,'Dispatch (Challan)'!$F$5:$F$304))</f>
        <v/>
      </c>
      <c r="J48" s="23">
        <f>IF(F48="","",F48-I48)</f>
        <v/>
      </c>
      <c r="K48" s="23">
        <f>IF(F48="","",IF(I48=0,"Pending",IF(I48&gt;=F48,"Completed","Partial")))</f>
        <v/>
      </c>
    </row>
    <row r="49">
      <c r="A49" s="26" t="n"/>
      <c r="B49" s="21" t="n"/>
      <c r="C49" s="21" t="n"/>
      <c r="D49" s="21" t="n"/>
      <c r="E49" s="21" t="n"/>
      <c r="F49" s="22" t="n"/>
      <c r="G49" s="23">
        <f>IFERROR(IF(E49="","",VLOOKUP(E49,'Setup - Mix Design'!$A$5:$I$304,9,0)),"")</f>
        <v/>
      </c>
      <c r="H49" s="23">
        <f>IF(OR(F49="",G49=""),"",F49*G49)</f>
        <v/>
      </c>
      <c r="I49" s="23">
        <f>IF(B49="","",SUMIF('Dispatch (Challan)'!$C$5:$C$304,B49,'Dispatch (Challan)'!$F$5:$F$304))</f>
        <v/>
      </c>
      <c r="J49" s="23">
        <f>IF(F49="","",F49-I49)</f>
        <v/>
      </c>
      <c r="K49" s="23">
        <f>IF(F49="","",IF(I49=0,"Pending",IF(I49&gt;=F49,"Completed","Partial")))</f>
        <v/>
      </c>
    </row>
    <row r="50">
      <c r="A50" s="26" t="n"/>
      <c r="B50" s="21" t="n"/>
      <c r="C50" s="21" t="n"/>
      <c r="D50" s="21" t="n"/>
      <c r="E50" s="21" t="n"/>
      <c r="F50" s="22" t="n"/>
      <c r="G50" s="23">
        <f>IFERROR(IF(E50="","",VLOOKUP(E50,'Setup - Mix Design'!$A$5:$I$304,9,0)),"")</f>
        <v/>
      </c>
      <c r="H50" s="23">
        <f>IF(OR(F50="",G50=""),"",F50*G50)</f>
        <v/>
      </c>
      <c r="I50" s="23">
        <f>IF(B50="","",SUMIF('Dispatch (Challan)'!$C$5:$C$304,B50,'Dispatch (Challan)'!$F$5:$F$304))</f>
        <v/>
      </c>
      <c r="J50" s="23">
        <f>IF(F50="","",F50-I50)</f>
        <v/>
      </c>
      <c r="K50" s="23">
        <f>IF(F50="","",IF(I50=0,"Pending",IF(I50&gt;=F50,"Completed","Partial")))</f>
        <v/>
      </c>
    </row>
    <row r="51">
      <c r="A51" s="26" t="n"/>
      <c r="B51" s="21" t="n"/>
      <c r="C51" s="21" t="n"/>
      <c r="D51" s="21" t="n"/>
      <c r="E51" s="21" t="n"/>
      <c r="F51" s="22" t="n"/>
      <c r="G51" s="23">
        <f>IFERROR(IF(E51="","",VLOOKUP(E51,'Setup - Mix Design'!$A$5:$I$304,9,0)),"")</f>
        <v/>
      </c>
      <c r="H51" s="23">
        <f>IF(OR(F51="",G51=""),"",F51*G51)</f>
        <v/>
      </c>
      <c r="I51" s="23">
        <f>IF(B51="","",SUMIF('Dispatch (Challan)'!$C$5:$C$304,B51,'Dispatch (Challan)'!$F$5:$F$304))</f>
        <v/>
      </c>
      <c r="J51" s="23">
        <f>IF(F51="","",F51-I51)</f>
        <v/>
      </c>
      <c r="K51" s="23">
        <f>IF(F51="","",IF(I51=0,"Pending",IF(I51&gt;=F51,"Completed","Partial")))</f>
        <v/>
      </c>
    </row>
    <row r="52">
      <c r="A52" s="26" t="n"/>
      <c r="B52" s="21" t="n"/>
      <c r="C52" s="21" t="n"/>
      <c r="D52" s="21" t="n"/>
      <c r="E52" s="21" t="n"/>
      <c r="F52" s="22" t="n"/>
      <c r="G52" s="23">
        <f>IFERROR(IF(E52="","",VLOOKUP(E52,'Setup - Mix Design'!$A$5:$I$304,9,0)),"")</f>
        <v/>
      </c>
      <c r="H52" s="23">
        <f>IF(OR(F52="",G52=""),"",F52*G52)</f>
        <v/>
      </c>
      <c r="I52" s="23">
        <f>IF(B52="","",SUMIF('Dispatch (Challan)'!$C$5:$C$304,B52,'Dispatch (Challan)'!$F$5:$F$304))</f>
        <v/>
      </c>
      <c r="J52" s="23">
        <f>IF(F52="","",F52-I52)</f>
        <v/>
      </c>
      <c r="K52" s="23">
        <f>IF(F52="","",IF(I52=0,"Pending",IF(I52&gt;=F52,"Completed","Partial")))</f>
        <v/>
      </c>
    </row>
    <row r="53">
      <c r="A53" s="26" t="n"/>
      <c r="B53" s="21" t="n"/>
      <c r="C53" s="21" t="n"/>
      <c r="D53" s="21" t="n"/>
      <c r="E53" s="21" t="n"/>
      <c r="F53" s="22" t="n"/>
      <c r="G53" s="23">
        <f>IFERROR(IF(E53="","",VLOOKUP(E53,'Setup - Mix Design'!$A$5:$I$304,9,0)),"")</f>
        <v/>
      </c>
      <c r="H53" s="23">
        <f>IF(OR(F53="",G53=""),"",F53*G53)</f>
        <v/>
      </c>
      <c r="I53" s="23">
        <f>IF(B53="","",SUMIF('Dispatch (Challan)'!$C$5:$C$304,B53,'Dispatch (Challan)'!$F$5:$F$304))</f>
        <v/>
      </c>
      <c r="J53" s="23">
        <f>IF(F53="","",F53-I53)</f>
        <v/>
      </c>
      <c r="K53" s="23">
        <f>IF(F53="","",IF(I53=0,"Pending",IF(I53&gt;=F53,"Completed","Partial")))</f>
        <v/>
      </c>
    </row>
    <row r="54">
      <c r="A54" s="26" t="n"/>
      <c r="B54" s="21" t="n"/>
      <c r="C54" s="21" t="n"/>
      <c r="D54" s="21" t="n"/>
      <c r="E54" s="21" t="n"/>
      <c r="F54" s="22" t="n"/>
      <c r="G54" s="23">
        <f>IFERROR(IF(E54="","",VLOOKUP(E54,'Setup - Mix Design'!$A$5:$I$304,9,0)),"")</f>
        <v/>
      </c>
      <c r="H54" s="23">
        <f>IF(OR(F54="",G54=""),"",F54*G54)</f>
        <v/>
      </c>
      <c r="I54" s="23">
        <f>IF(B54="","",SUMIF('Dispatch (Challan)'!$C$5:$C$304,B54,'Dispatch (Challan)'!$F$5:$F$304))</f>
        <v/>
      </c>
      <c r="J54" s="23">
        <f>IF(F54="","",F54-I54)</f>
        <v/>
      </c>
      <c r="K54" s="23">
        <f>IF(F54="","",IF(I54=0,"Pending",IF(I54&gt;=F54,"Completed","Partial")))</f>
        <v/>
      </c>
    </row>
    <row r="55">
      <c r="A55" s="26" t="n"/>
      <c r="B55" s="21" t="n"/>
      <c r="C55" s="21" t="n"/>
      <c r="D55" s="21" t="n"/>
      <c r="E55" s="21" t="n"/>
      <c r="F55" s="22" t="n"/>
      <c r="G55" s="23">
        <f>IFERROR(IF(E55="","",VLOOKUP(E55,'Setup - Mix Design'!$A$5:$I$304,9,0)),"")</f>
        <v/>
      </c>
      <c r="H55" s="23">
        <f>IF(OR(F55="",G55=""),"",F55*G55)</f>
        <v/>
      </c>
      <c r="I55" s="23">
        <f>IF(B55="","",SUMIF('Dispatch (Challan)'!$C$5:$C$304,B55,'Dispatch (Challan)'!$F$5:$F$304))</f>
        <v/>
      </c>
      <c r="J55" s="23">
        <f>IF(F55="","",F55-I55)</f>
        <v/>
      </c>
      <c r="K55" s="23">
        <f>IF(F55="","",IF(I55=0,"Pending",IF(I55&gt;=F55,"Completed","Partial")))</f>
        <v/>
      </c>
    </row>
    <row r="56">
      <c r="A56" s="26" t="n"/>
      <c r="B56" s="21" t="n"/>
      <c r="C56" s="21" t="n"/>
      <c r="D56" s="21" t="n"/>
      <c r="E56" s="21" t="n"/>
      <c r="F56" s="22" t="n"/>
      <c r="G56" s="23">
        <f>IFERROR(IF(E56="","",VLOOKUP(E56,'Setup - Mix Design'!$A$5:$I$304,9,0)),"")</f>
        <v/>
      </c>
      <c r="H56" s="23">
        <f>IF(OR(F56="",G56=""),"",F56*G56)</f>
        <v/>
      </c>
      <c r="I56" s="23">
        <f>IF(B56="","",SUMIF('Dispatch (Challan)'!$C$5:$C$304,B56,'Dispatch (Challan)'!$F$5:$F$304))</f>
        <v/>
      </c>
      <c r="J56" s="23">
        <f>IF(F56="","",F56-I56)</f>
        <v/>
      </c>
      <c r="K56" s="23">
        <f>IF(F56="","",IF(I56=0,"Pending",IF(I56&gt;=F56,"Completed","Partial")))</f>
        <v/>
      </c>
    </row>
    <row r="57">
      <c r="A57" s="26" t="n"/>
      <c r="B57" s="21" t="n"/>
      <c r="C57" s="21" t="n"/>
      <c r="D57" s="21" t="n"/>
      <c r="E57" s="21" t="n"/>
      <c r="F57" s="22" t="n"/>
      <c r="G57" s="23">
        <f>IFERROR(IF(E57="","",VLOOKUP(E57,'Setup - Mix Design'!$A$5:$I$304,9,0)),"")</f>
        <v/>
      </c>
      <c r="H57" s="23">
        <f>IF(OR(F57="",G57=""),"",F57*G57)</f>
        <v/>
      </c>
      <c r="I57" s="23">
        <f>IF(B57="","",SUMIF('Dispatch (Challan)'!$C$5:$C$304,B57,'Dispatch (Challan)'!$F$5:$F$304))</f>
        <v/>
      </c>
      <c r="J57" s="23">
        <f>IF(F57="","",F57-I57)</f>
        <v/>
      </c>
      <c r="K57" s="23">
        <f>IF(F57="","",IF(I57=0,"Pending",IF(I57&gt;=F57,"Completed","Partial")))</f>
        <v/>
      </c>
    </row>
    <row r="58">
      <c r="A58" s="26" t="n"/>
      <c r="B58" s="21" t="n"/>
      <c r="C58" s="21" t="n"/>
      <c r="D58" s="21" t="n"/>
      <c r="E58" s="21" t="n"/>
      <c r="F58" s="22" t="n"/>
      <c r="G58" s="23">
        <f>IFERROR(IF(E58="","",VLOOKUP(E58,'Setup - Mix Design'!$A$5:$I$304,9,0)),"")</f>
        <v/>
      </c>
      <c r="H58" s="23">
        <f>IF(OR(F58="",G58=""),"",F58*G58)</f>
        <v/>
      </c>
      <c r="I58" s="23">
        <f>IF(B58="","",SUMIF('Dispatch (Challan)'!$C$5:$C$304,B58,'Dispatch (Challan)'!$F$5:$F$304))</f>
        <v/>
      </c>
      <c r="J58" s="23">
        <f>IF(F58="","",F58-I58)</f>
        <v/>
      </c>
      <c r="K58" s="23">
        <f>IF(F58="","",IF(I58=0,"Pending",IF(I58&gt;=F58,"Completed","Partial")))</f>
        <v/>
      </c>
    </row>
    <row r="59">
      <c r="A59" s="26" t="n"/>
      <c r="B59" s="21" t="n"/>
      <c r="C59" s="21" t="n"/>
      <c r="D59" s="21" t="n"/>
      <c r="E59" s="21" t="n"/>
      <c r="F59" s="22" t="n"/>
      <c r="G59" s="23">
        <f>IFERROR(IF(E59="","",VLOOKUP(E59,'Setup - Mix Design'!$A$5:$I$304,9,0)),"")</f>
        <v/>
      </c>
      <c r="H59" s="23">
        <f>IF(OR(F59="",G59=""),"",F59*G59)</f>
        <v/>
      </c>
      <c r="I59" s="23">
        <f>IF(B59="","",SUMIF('Dispatch (Challan)'!$C$5:$C$304,B59,'Dispatch (Challan)'!$F$5:$F$304))</f>
        <v/>
      </c>
      <c r="J59" s="23">
        <f>IF(F59="","",F59-I59)</f>
        <v/>
      </c>
      <c r="K59" s="23">
        <f>IF(F59="","",IF(I59=0,"Pending",IF(I59&gt;=F59,"Completed","Partial")))</f>
        <v/>
      </c>
    </row>
    <row r="60">
      <c r="A60" s="26" t="n"/>
      <c r="B60" s="21" t="n"/>
      <c r="C60" s="21" t="n"/>
      <c r="D60" s="21" t="n"/>
      <c r="E60" s="21" t="n"/>
      <c r="F60" s="22" t="n"/>
      <c r="G60" s="23">
        <f>IFERROR(IF(E60="","",VLOOKUP(E60,'Setup - Mix Design'!$A$5:$I$304,9,0)),"")</f>
        <v/>
      </c>
      <c r="H60" s="23">
        <f>IF(OR(F60="",G60=""),"",F60*G60)</f>
        <v/>
      </c>
      <c r="I60" s="23">
        <f>IF(B60="","",SUMIF('Dispatch (Challan)'!$C$5:$C$304,B60,'Dispatch (Challan)'!$F$5:$F$304))</f>
        <v/>
      </c>
      <c r="J60" s="23">
        <f>IF(F60="","",F60-I60)</f>
        <v/>
      </c>
      <c r="K60" s="23">
        <f>IF(F60="","",IF(I60=0,"Pending",IF(I60&gt;=F60,"Completed","Partial")))</f>
        <v/>
      </c>
    </row>
    <row r="61">
      <c r="A61" s="26" t="n"/>
      <c r="B61" s="21" t="n"/>
      <c r="C61" s="21" t="n"/>
      <c r="D61" s="21" t="n"/>
      <c r="E61" s="21" t="n"/>
      <c r="F61" s="22" t="n"/>
      <c r="G61" s="23">
        <f>IFERROR(IF(E61="","",VLOOKUP(E61,'Setup - Mix Design'!$A$5:$I$304,9,0)),"")</f>
        <v/>
      </c>
      <c r="H61" s="23">
        <f>IF(OR(F61="",G61=""),"",F61*G61)</f>
        <v/>
      </c>
      <c r="I61" s="23">
        <f>IF(B61="","",SUMIF('Dispatch (Challan)'!$C$5:$C$304,B61,'Dispatch (Challan)'!$F$5:$F$304))</f>
        <v/>
      </c>
      <c r="J61" s="23">
        <f>IF(F61="","",F61-I61)</f>
        <v/>
      </c>
      <c r="K61" s="23">
        <f>IF(F61="","",IF(I61=0,"Pending",IF(I61&gt;=F61,"Completed","Partial")))</f>
        <v/>
      </c>
    </row>
    <row r="62">
      <c r="A62" s="26" t="n"/>
      <c r="B62" s="21" t="n"/>
      <c r="C62" s="21" t="n"/>
      <c r="D62" s="21" t="n"/>
      <c r="E62" s="21" t="n"/>
      <c r="F62" s="22" t="n"/>
      <c r="G62" s="23">
        <f>IFERROR(IF(E62="","",VLOOKUP(E62,'Setup - Mix Design'!$A$5:$I$304,9,0)),"")</f>
        <v/>
      </c>
      <c r="H62" s="23">
        <f>IF(OR(F62="",G62=""),"",F62*G62)</f>
        <v/>
      </c>
      <c r="I62" s="23">
        <f>IF(B62="","",SUMIF('Dispatch (Challan)'!$C$5:$C$304,B62,'Dispatch (Challan)'!$F$5:$F$304))</f>
        <v/>
      </c>
      <c r="J62" s="23">
        <f>IF(F62="","",F62-I62)</f>
        <v/>
      </c>
      <c r="K62" s="23">
        <f>IF(F62="","",IF(I62=0,"Pending",IF(I62&gt;=F62,"Completed","Partial")))</f>
        <v/>
      </c>
    </row>
    <row r="63">
      <c r="A63" s="26" t="n"/>
      <c r="B63" s="21" t="n"/>
      <c r="C63" s="21" t="n"/>
      <c r="D63" s="21" t="n"/>
      <c r="E63" s="21" t="n"/>
      <c r="F63" s="22" t="n"/>
      <c r="G63" s="23">
        <f>IFERROR(IF(E63="","",VLOOKUP(E63,'Setup - Mix Design'!$A$5:$I$304,9,0)),"")</f>
        <v/>
      </c>
      <c r="H63" s="23">
        <f>IF(OR(F63="",G63=""),"",F63*G63)</f>
        <v/>
      </c>
      <c r="I63" s="23">
        <f>IF(B63="","",SUMIF('Dispatch (Challan)'!$C$5:$C$304,B63,'Dispatch (Challan)'!$F$5:$F$304))</f>
        <v/>
      </c>
      <c r="J63" s="23">
        <f>IF(F63="","",F63-I63)</f>
        <v/>
      </c>
      <c r="K63" s="23">
        <f>IF(F63="","",IF(I63=0,"Pending",IF(I63&gt;=F63,"Completed","Partial")))</f>
        <v/>
      </c>
    </row>
    <row r="64">
      <c r="A64" s="26" t="n"/>
      <c r="B64" s="21" t="n"/>
      <c r="C64" s="21" t="n"/>
      <c r="D64" s="21" t="n"/>
      <c r="E64" s="21" t="n"/>
      <c r="F64" s="22" t="n"/>
      <c r="G64" s="23">
        <f>IFERROR(IF(E64="","",VLOOKUP(E64,'Setup - Mix Design'!$A$5:$I$304,9,0)),"")</f>
        <v/>
      </c>
      <c r="H64" s="23">
        <f>IF(OR(F64="",G64=""),"",F64*G64)</f>
        <v/>
      </c>
      <c r="I64" s="23">
        <f>IF(B64="","",SUMIF('Dispatch (Challan)'!$C$5:$C$304,B64,'Dispatch (Challan)'!$F$5:$F$304))</f>
        <v/>
      </c>
      <c r="J64" s="23">
        <f>IF(F64="","",F64-I64)</f>
        <v/>
      </c>
      <c r="K64" s="23">
        <f>IF(F64="","",IF(I64=0,"Pending",IF(I64&gt;=F64,"Completed","Partial")))</f>
        <v/>
      </c>
    </row>
    <row r="65">
      <c r="A65" s="26" t="n"/>
      <c r="B65" s="21" t="n"/>
      <c r="C65" s="21" t="n"/>
      <c r="D65" s="21" t="n"/>
      <c r="E65" s="21" t="n"/>
      <c r="F65" s="22" t="n"/>
      <c r="G65" s="23">
        <f>IFERROR(IF(E65="","",VLOOKUP(E65,'Setup - Mix Design'!$A$5:$I$304,9,0)),"")</f>
        <v/>
      </c>
      <c r="H65" s="23">
        <f>IF(OR(F65="",G65=""),"",F65*G65)</f>
        <v/>
      </c>
      <c r="I65" s="23">
        <f>IF(B65="","",SUMIF('Dispatch (Challan)'!$C$5:$C$304,B65,'Dispatch (Challan)'!$F$5:$F$304))</f>
        <v/>
      </c>
      <c r="J65" s="23">
        <f>IF(F65="","",F65-I65)</f>
        <v/>
      </c>
      <c r="K65" s="23">
        <f>IF(F65="","",IF(I65=0,"Pending",IF(I65&gt;=F65,"Completed","Partial")))</f>
        <v/>
      </c>
    </row>
    <row r="66">
      <c r="A66" s="26" t="n"/>
      <c r="B66" s="21" t="n"/>
      <c r="C66" s="21" t="n"/>
      <c r="D66" s="21" t="n"/>
      <c r="E66" s="21" t="n"/>
      <c r="F66" s="22" t="n"/>
      <c r="G66" s="23">
        <f>IFERROR(IF(E66="","",VLOOKUP(E66,'Setup - Mix Design'!$A$5:$I$304,9,0)),"")</f>
        <v/>
      </c>
      <c r="H66" s="23">
        <f>IF(OR(F66="",G66=""),"",F66*G66)</f>
        <v/>
      </c>
      <c r="I66" s="23">
        <f>IF(B66="","",SUMIF('Dispatch (Challan)'!$C$5:$C$304,B66,'Dispatch (Challan)'!$F$5:$F$304))</f>
        <v/>
      </c>
      <c r="J66" s="23">
        <f>IF(F66="","",F66-I66)</f>
        <v/>
      </c>
      <c r="K66" s="23">
        <f>IF(F66="","",IF(I66=0,"Pending",IF(I66&gt;=F66,"Completed","Partial")))</f>
        <v/>
      </c>
    </row>
    <row r="67">
      <c r="A67" s="26" t="n"/>
      <c r="B67" s="21" t="n"/>
      <c r="C67" s="21" t="n"/>
      <c r="D67" s="21" t="n"/>
      <c r="E67" s="21" t="n"/>
      <c r="F67" s="22" t="n"/>
      <c r="G67" s="23">
        <f>IFERROR(IF(E67="","",VLOOKUP(E67,'Setup - Mix Design'!$A$5:$I$304,9,0)),"")</f>
        <v/>
      </c>
      <c r="H67" s="23">
        <f>IF(OR(F67="",G67=""),"",F67*G67)</f>
        <v/>
      </c>
      <c r="I67" s="23">
        <f>IF(B67="","",SUMIF('Dispatch (Challan)'!$C$5:$C$304,B67,'Dispatch (Challan)'!$F$5:$F$304))</f>
        <v/>
      </c>
      <c r="J67" s="23">
        <f>IF(F67="","",F67-I67)</f>
        <v/>
      </c>
      <c r="K67" s="23">
        <f>IF(F67="","",IF(I67=0,"Pending",IF(I67&gt;=F67,"Completed","Partial")))</f>
        <v/>
      </c>
    </row>
    <row r="68">
      <c r="A68" s="26" t="n"/>
      <c r="B68" s="21" t="n"/>
      <c r="C68" s="21" t="n"/>
      <c r="D68" s="21" t="n"/>
      <c r="E68" s="21" t="n"/>
      <c r="F68" s="22" t="n"/>
      <c r="G68" s="23">
        <f>IFERROR(IF(E68="","",VLOOKUP(E68,'Setup - Mix Design'!$A$5:$I$304,9,0)),"")</f>
        <v/>
      </c>
      <c r="H68" s="23">
        <f>IF(OR(F68="",G68=""),"",F68*G68)</f>
        <v/>
      </c>
      <c r="I68" s="23">
        <f>IF(B68="","",SUMIF('Dispatch (Challan)'!$C$5:$C$304,B68,'Dispatch (Challan)'!$F$5:$F$304))</f>
        <v/>
      </c>
      <c r="J68" s="23">
        <f>IF(F68="","",F68-I68)</f>
        <v/>
      </c>
      <c r="K68" s="23">
        <f>IF(F68="","",IF(I68=0,"Pending",IF(I68&gt;=F68,"Completed","Partial")))</f>
        <v/>
      </c>
    </row>
    <row r="69">
      <c r="A69" s="26" t="n"/>
      <c r="B69" s="21" t="n"/>
      <c r="C69" s="21" t="n"/>
      <c r="D69" s="21" t="n"/>
      <c r="E69" s="21" t="n"/>
      <c r="F69" s="22" t="n"/>
      <c r="G69" s="23">
        <f>IFERROR(IF(E69="","",VLOOKUP(E69,'Setup - Mix Design'!$A$5:$I$304,9,0)),"")</f>
        <v/>
      </c>
      <c r="H69" s="23">
        <f>IF(OR(F69="",G69=""),"",F69*G69)</f>
        <v/>
      </c>
      <c r="I69" s="23">
        <f>IF(B69="","",SUMIF('Dispatch (Challan)'!$C$5:$C$304,B69,'Dispatch (Challan)'!$F$5:$F$304))</f>
        <v/>
      </c>
      <c r="J69" s="23">
        <f>IF(F69="","",F69-I69)</f>
        <v/>
      </c>
      <c r="K69" s="23">
        <f>IF(F69="","",IF(I69=0,"Pending",IF(I69&gt;=F69,"Completed","Partial")))</f>
        <v/>
      </c>
    </row>
    <row r="70">
      <c r="A70" s="26" t="n"/>
      <c r="B70" s="21" t="n"/>
      <c r="C70" s="21" t="n"/>
      <c r="D70" s="21" t="n"/>
      <c r="E70" s="21" t="n"/>
      <c r="F70" s="22" t="n"/>
      <c r="G70" s="23">
        <f>IFERROR(IF(E70="","",VLOOKUP(E70,'Setup - Mix Design'!$A$5:$I$304,9,0)),"")</f>
        <v/>
      </c>
      <c r="H70" s="23">
        <f>IF(OR(F70="",G70=""),"",F70*G70)</f>
        <v/>
      </c>
      <c r="I70" s="23">
        <f>IF(B70="","",SUMIF('Dispatch (Challan)'!$C$5:$C$304,B70,'Dispatch (Challan)'!$F$5:$F$304))</f>
        <v/>
      </c>
      <c r="J70" s="23">
        <f>IF(F70="","",F70-I70)</f>
        <v/>
      </c>
      <c r="K70" s="23">
        <f>IF(F70="","",IF(I70=0,"Pending",IF(I70&gt;=F70,"Completed","Partial")))</f>
        <v/>
      </c>
    </row>
    <row r="71">
      <c r="A71" s="26" t="n"/>
      <c r="B71" s="21" t="n"/>
      <c r="C71" s="21" t="n"/>
      <c r="D71" s="21" t="n"/>
      <c r="E71" s="21" t="n"/>
      <c r="F71" s="22" t="n"/>
      <c r="G71" s="23">
        <f>IFERROR(IF(E71="","",VLOOKUP(E71,'Setup - Mix Design'!$A$5:$I$304,9,0)),"")</f>
        <v/>
      </c>
      <c r="H71" s="23">
        <f>IF(OR(F71="",G71=""),"",F71*G71)</f>
        <v/>
      </c>
      <c r="I71" s="23">
        <f>IF(B71="","",SUMIF('Dispatch (Challan)'!$C$5:$C$304,B71,'Dispatch (Challan)'!$F$5:$F$304))</f>
        <v/>
      </c>
      <c r="J71" s="23">
        <f>IF(F71="","",F71-I71)</f>
        <v/>
      </c>
      <c r="K71" s="23">
        <f>IF(F71="","",IF(I71=0,"Pending",IF(I71&gt;=F71,"Completed","Partial")))</f>
        <v/>
      </c>
    </row>
    <row r="72">
      <c r="A72" s="26" t="n"/>
      <c r="B72" s="21" t="n"/>
      <c r="C72" s="21" t="n"/>
      <c r="D72" s="21" t="n"/>
      <c r="E72" s="21" t="n"/>
      <c r="F72" s="22" t="n"/>
      <c r="G72" s="23">
        <f>IFERROR(IF(E72="","",VLOOKUP(E72,'Setup - Mix Design'!$A$5:$I$304,9,0)),"")</f>
        <v/>
      </c>
      <c r="H72" s="23">
        <f>IF(OR(F72="",G72=""),"",F72*G72)</f>
        <v/>
      </c>
      <c r="I72" s="23">
        <f>IF(B72="","",SUMIF('Dispatch (Challan)'!$C$5:$C$304,B72,'Dispatch (Challan)'!$F$5:$F$304))</f>
        <v/>
      </c>
      <c r="J72" s="23">
        <f>IF(F72="","",F72-I72)</f>
        <v/>
      </c>
      <c r="K72" s="23">
        <f>IF(F72="","",IF(I72=0,"Pending",IF(I72&gt;=F72,"Completed","Partial")))</f>
        <v/>
      </c>
    </row>
    <row r="73">
      <c r="A73" s="26" t="n"/>
      <c r="B73" s="21" t="n"/>
      <c r="C73" s="21" t="n"/>
      <c r="D73" s="21" t="n"/>
      <c r="E73" s="21" t="n"/>
      <c r="F73" s="22" t="n"/>
      <c r="G73" s="23">
        <f>IFERROR(IF(E73="","",VLOOKUP(E73,'Setup - Mix Design'!$A$5:$I$304,9,0)),"")</f>
        <v/>
      </c>
      <c r="H73" s="23">
        <f>IF(OR(F73="",G73=""),"",F73*G73)</f>
        <v/>
      </c>
      <c r="I73" s="23">
        <f>IF(B73="","",SUMIF('Dispatch (Challan)'!$C$5:$C$304,B73,'Dispatch (Challan)'!$F$5:$F$304))</f>
        <v/>
      </c>
      <c r="J73" s="23">
        <f>IF(F73="","",F73-I73)</f>
        <v/>
      </c>
      <c r="K73" s="23">
        <f>IF(F73="","",IF(I73=0,"Pending",IF(I73&gt;=F73,"Completed","Partial")))</f>
        <v/>
      </c>
    </row>
    <row r="74">
      <c r="A74" s="26" t="n"/>
      <c r="B74" s="21" t="n"/>
      <c r="C74" s="21" t="n"/>
      <c r="D74" s="21" t="n"/>
      <c r="E74" s="21" t="n"/>
      <c r="F74" s="22" t="n"/>
      <c r="G74" s="23">
        <f>IFERROR(IF(E74="","",VLOOKUP(E74,'Setup - Mix Design'!$A$5:$I$304,9,0)),"")</f>
        <v/>
      </c>
      <c r="H74" s="23">
        <f>IF(OR(F74="",G74=""),"",F74*G74)</f>
        <v/>
      </c>
      <c r="I74" s="23">
        <f>IF(B74="","",SUMIF('Dispatch (Challan)'!$C$5:$C$304,B74,'Dispatch (Challan)'!$F$5:$F$304))</f>
        <v/>
      </c>
      <c r="J74" s="23">
        <f>IF(F74="","",F74-I74)</f>
        <v/>
      </c>
      <c r="K74" s="23">
        <f>IF(F74="","",IF(I74=0,"Pending",IF(I74&gt;=F74,"Completed","Partial")))</f>
        <v/>
      </c>
    </row>
    <row r="75">
      <c r="A75" s="26" t="n"/>
      <c r="B75" s="21" t="n"/>
      <c r="C75" s="21" t="n"/>
      <c r="D75" s="21" t="n"/>
      <c r="E75" s="21" t="n"/>
      <c r="F75" s="22" t="n"/>
      <c r="G75" s="23">
        <f>IFERROR(IF(E75="","",VLOOKUP(E75,'Setup - Mix Design'!$A$5:$I$304,9,0)),"")</f>
        <v/>
      </c>
      <c r="H75" s="23">
        <f>IF(OR(F75="",G75=""),"",F75*G75)</f>
        <v/>
      </c>
      <c r="I75" s="23">
        <f>IF(B75="","",SUMIF('Dispatch (Challan)'!$C$5:$C$304,B75,'Dispatch (Challan)'!$F$5:$F$304))</f>
        <v/>
      </c>
      <c r="J75" s="23">
        <f>IF(F75="","",F75-I75)</f>
        <v/>
      </c>
      <c r="K75" s="23">
        <f>IF(F75="","",IF(I75=0,"Pending",IF(I75&gt;=F75,"Completed","Partial")))</f>
        <v/>
      </c>
    </row>
    <row r="76">
      <c r="A76" s="26" t="n"/>
      <c r="B76" s="21" t="n"/>
      <c r="C76" s="21" t="n"/>
      <c r="D76" s="21" t="n"/>
      <c r="E76" s="21" t="n"/>
      <c r="F76" s="22" t="n"/>
      <c r="G76" s="23">
        <f>IFERROR(IF(E76="","",VLOOKUP(E76,'Setup - Mix Design'!$A$5:$I$304,9,0)),"")</f>
        <v/>
      </c>
      <c r="H76" s="23">
        <f>IF(OR(F76="",G76=""),"",F76*G76)</f>
        <v/>
      </c>
      <c r="I76" s="23">
        <f>IF(B76="","",SUMIF('Dispatch (Challan)'!$C$5:$C$304,B76,'Dispatch (Challan)'!$F$5:$F$304))</f>
        <v/>
      </c>
      <c r="J76" s="23">
        <f>IF(F76="","",F76-I76)</f>
        <v/>
      </c>
      <c r="K76" s="23">
        <f>IF(F76="","",IF(I76=0,"Pending",IF(I76&gt;=F76,"Completed","Partial")))</f>
        <v/>
      </c>
    </row>
    <row r="77">
      <c r="A77" s="26" t="n"/>
      <c r="B77" s="21" t="n"/>
      <c r="C77" s="21" t="n"/>
      <c r="D77" s="21" t="n"/>
      <c r="E77" s="21" t="n"/>
      <c r="F77" s="22" t="n"/>
      <c r="G77" s="23">
        <f>IFERROR(IF(E77="","",VLOOKUP(E77,'Setup - Mix Design'!$A$5:$I$304,9,0)),"")</f>
        <v/>
      </c>
      <c r="H77" s="23">
        <f>IF(OR(F77="",G77=""),"",F77*G77)</f>
        <v/>
      </c>
      <c r="I77" s="23">
        <f>IF(B77="","",SUMIF('Dispatch (Challan)'!$C$5:$C$304,B77,'Dispatch (Challan)'!$F$5:$F$304))</f>
        <v/>
      </c>
      <c r="J77" s="23">
        <f>IF(F77="","",F77-I77)</f>
        <v/>
      </c>
      <c r="K77" s="23">
        <f>IF(F77="","",IF(I77=0,"Pending",IF(I77&gt;=F77,"Completed","Partial")))</f>
        <v/>
      </c>
    </row>
    <row r="78">
      <c r="A78" s="26" t="n"/>
      <c r="B78" s="21" t="n"/>
      <c r="C78" s="21" t="n"/>
      <c r="D78" s="21" t="n"/>
      <c r="E78" s="21" t="n"/>
      <c r="F78" s="22" t="n"/>
      <c r="G78" s="23">
        <f>IFERROR(IF(E78="","",VLOOKUP(E78,'Setup - Mix Design'!$A$5:$I$304,9,0)),"")</f>
        <v/>
      </c>
      <c r="H78" s="23">
        <f>IF(OR(F78="",G78=""),"",F78*G78)</f>
        <v/>
      </c>
      <c r="I78" s="23">
        <f>IF(B78="","",SUMIF('Dispatch (Challan)'!$C$5:$C$304,B78,'Dispatch (Challan)'!$F$5:$F$304))</f>
        <v/>
      </c>
      <c r="J78" s="23">
        <f>IF(F78="","",F78-I78)</f>
        <v/>
      </c>
      <c r="K78" s="23">
        <f>IF(F78="","",IF(I78=0,"Pending",IF(I78&gt;=F78,"Completed","Partial")))</f>
        <v/>
      </c>
    </row>
    <row r="79">
      <c r="A79" s="26" t="n"/>
      <c r="B79" s="21" t="n"/>
      <c r="C79" s="21" t="n"/>
      <c r="D79" s="21" t="n"/>
      <c r="E79" s="21" t="n"/>
      <c r="F79" s="22" t="n"/>
      <c r="G79" s="23">
        <f>IFERROR(IF(E79="","",VLOOKUP(E79,'Setup - Mix Design'!$A$5:$I$304,9,0)),"")</f>
        <v/>
      </c>
      <c r="H79" s="23">
        <f>IF(OR(F79="",G79=""),"",F79*G79)</f>
        <v/>
      </c>
      <c r="I79" s="23">
        <f>IF(B79="","",SUMIF('Dispatch (Challan)'!$C$5:$C$304,B79,'Dispatch (Challan)'!$F$5:$F$304))</f>
        <v/>
      </c>
      <c r="J79" s="23">
        <f>IF(F79="","",F79-I79)</f>
        <v/>
      </c>
      <c r="K79" s="23">
        <f>IF(F79="","",IF(I79=0,"Pending",IF(I79&gt;=F79,"Completed","Partial")))</f>
        <v/>
      </c>
    </row>
    <row r="80">
      <c r="A80" s="26" t="n"/>
      <c r="B80" s="21" t="n"/>
      <c r="C80" s="21" t="n"/>
      <c r="D80" s="21" t="n"/>
      <c r="E80" s="21" t="n"/>
      <c r="F80" s="22" t="n"/>
      <c r="G80" s="23">
        <f>IFERROR(IF(E80="","",VLOOKUP(E80,'Setup - Mix Design'!$A$5:$I$304,9,0)),"")</f>
        <v/>
      </c>
      <c r="H80" s="23">
        <f>IF(OR(F80="",G80=""),"",F80*G80)</f>
        <v/>
      </c>
      <c r="I80" s="23">
        <f>IF(B80="","",SUMIF('Dispatch (Challan)'!$C$5:$C$304,B80,'Dispatch (Challan)'!$F$5:$F$304))</f>
        <v/>
      </c>
      <c r="J80" s="23">
        <f>IF(F80="","",F80-I80)</f>
        <v/>
      </c>
      <c r="K80" s="23">
        <f>IF(F80="","",IF(I80=0,"Pending",IF(I80&gt;=F80,"Completed","Partial")))</f>
        <v/>
      </c>
    </row>
    <row r="81">
      <c r="A81" s="26" t="n"/>
      <c r="B81" s="21" t="n"/>
      <c r="C81" s="21" t="n"/>
      <c r="D81" s="21" t="n"/>
      <c r="E81" s="21" t="n"/>
      <c r="F81" s="22" t="n"/>
      <c r="G81" s="23">
        <f>IFERROR(IF(E81="","",VLOOKUP(E81,'Setup - Mix Design'!$A$5:$I$304,9,0)),"")</f>
        <v/>
      </c>
      <c r="H81" s="23">
        <f>IF(OR(F81="",G81=""),"",F81*G81)</f>
        <v/>
      </c>
      <c r="I81" s="23">
        <f>IF(B81="","",SUMIF('Dispatch (Challan)'!$C$5:$C$304,B81,'Dispatch (Challan)'!$F$5:$F$304))</f>
        <v/>
      </c>
      <c r="J81" s="23">
        <f>IF(F81="","",F81-I81)</f>
        <v/>
      </c>
      <c r="K81" s="23">
        <f>IF(F81="","",IF(I81=0,"Pending",IF(I81&gt;=F81,"Completed","Partial")))</f>
        <v/>
      </c>
    </row>
    <row r="82">
      <c r="A82" s="26" t="n"/>
      <c r="B82" s="21" t="n"/>
      <c r="C82" s="21" t="n"/>
      <c r="D82" s="21" t="n"/>
      <c r="E82" s="21" t="n"/>
      <c r="F82" s="22" t="n"/>
      <c r="G82" s="23">
        <f>IFERROR(IF(E82="","",VLOOKUP(E82,'Setup - Mix Design'!$A$5:$I$304,9,0)),"")</f>
        <v/>
      </c>
      <c r="H82" s="23">
        <f>IF(OR(F82="",G82=""),"",F82*G82)</f>
        <v/>
      </c>
      <c r="I82" s="23">
        <f>IF(B82="","",SUMIF('Dispatch (Challan)'!$C$5:$C$304,B82,'Dispatch (Challan)'!$F$5:$F$304))</f>
        <v/>
      </c>
      <c r="J82" s="23">
        <f>IF(F82="","",F82-I82)</f>
        <v/>
      </c>
      <c r="K82" s="23">
        <f>IF(F82="","",IF(I82=0,"Pending",IF(I82&gt;=F82,"Completed","Partial")))</f>
        <v/>
      </c>
    </row>
    <row r="83">
      <c r="A83" s="26" t="n"/>
      <c r="B83" s="21" t="n"/>
      <c r="C83" s="21" t="n"/>
      <c r="D83" s="21" t="n"/>
      <c r="E83" s="21" t="n"/>
      <c r="F83" s="22" t="n"/>
      <c r="G83" s="23">
        <f>IFERROR(IF(E83="","",VLOOKUP(E83,'Setup - Mix Design'!$A$5:$I$304,9,0)),"")</f>
        <v/>
      </c>
      <c r="H83" s="23">
        <f>IF(OR(F83="",G83=""),"",F83*G83)</f>
        <v/>
      </c>
      <c r="I83" s="23">
        <f>IF(B83="","",SUMIF('Dispatch (Challan)'!$C$5:$C$304,B83,'Dispatch (Challan)'!$F$5:$F$304))</f>
        <v/>
      </c>
      <c r="J83" s="23">
        <f>IF(F83="","",F83-I83)</f>
        <v/>
      </c>
      <c r="K83" s="23">
        <f>IF(F83="","",IF(I83=0,"Pending",IF(I83&gt;=F83,"Completed","Partial")))</f>
        <v/>
      </c>
    </row>
    <row r="84">
      <c r="A84" s="26" t="n"/>
      <c r="B84" s="21" t="n"/>
      <c r="C84" s="21" t="n"/>
      <c r="D84" s="21" t="n"/>
      <c r="E84" s="21" t="n"/>
      <c r="F84" s="22" t="n"/>
      <c r="G84" s="23">
        <f>IFERROR(IF(E84="","",VLOOKUP(E84,'Setup - Mix Design'!$A$5:$I$304,9,0)),"")</f>
        <v/>
      </c>
      <c r="H84" s="23">
        <f>IF(OR(F84="",G84=""),"",F84*G84)</f>
        <v/>
      </c>
      <c r="I84" s="23">
        <f>IF(B84="","",SUMIF('Dispatch (Challan)'!$C$5:$C$304,B84,'Dispatch (Challan)'!$F$5:$F$304))</f>
        <v/>
      </c>
      <c r="J84" s="23">
        <f>IF(F84="","",F84-I84)</f>
        <v/>
      </c>
      <c r="K84" s="23">
        <f>IF(F84="","",IF(I84=0,"Pending",IF(I84&gt;=F84,"Completed","Partial")))</f>
        <v/>
      </c>
    </row>
    <row r="85">
      <c r="A85" s="26" t="n"/>
      <c r="B85" s="21" t="n"/>
      <c r="C85" s="21" t="n"/>
      <c r="D85" s="21" t="n"/>
      <c r="E85" s="21" t="n"/>
      <c r="F85" s="22" t="n"/>
      <c r="G85" s="23">
        <f>IFERROR(IF(E85="","",VLOOKUP(E85,'Setup - Mix Design'!$A$5:$I$304,9,0)),"")</f>
        <v/>
      </c>
      <c r="H85" s="23">
        <f>IF(OR(F85="",G85=""),"",F85*G85)</f>
        <v/>
      </c>
      <c r="I85" s="23">
        <f>IF(B85="","",SUMIF('Dispatch (Challan)'!$C$5:$C$304,B85,'Dispatch (Challan)'!$F$5:$F$304))</f>
        <v/>
      </c>
      <c r="J85" s="23">
        <f>IF(F85="","",F85-I85)</f>
        <v/>
      </c>
      <c r="K85" s="23">
        <f>IF(F85="","",IF(I85=0,"Pending",IF(I85&gt;=F85,"Completed","Partial")))</f>
        <v/>
      </c>
    </row>
    <row r="86">
      <c r="A86" s="26" t="n"/>
      <c r="B86" s="21" t="n"/>
      <c r="C86" s="21" t="n"/>
      <c r="D86" s="21" t="n"/>
      <c r="E86" s="21" t="n"/>
      <c r="F86" s="22" t="n"/>
      <c r="G86" s="23">
        <f>IFERROR(IF(E86="","",VLOOKUP(E86,'Setup - Mix Design'!$A$5:$I$304,9,0)),"")</f>
        <v/>
      </c>
      <c r="H86" s="23">
        <f>IF(OR(F86="",G86=""),"",F86*G86)</f>
        <v/>
      </c>
      <c r="I86" s="23">
        <f>IF(B86="","",SUMIF('Dispatch (Challan)'!$C$5:$C$304,B86,'Dispatch (Challan)'!$F$5:$F$304))</f>
        <v/>
      </c>
      <c r="J86" s="23">
        <f>IF(F86="","",F86-I86)</f>
        <v/>
      </c>
      <c r="K86" s="23">
        <f>IF(F86="","",IF(I86=0,"Pending",IF(I86&gt;=F86,"Completed","Partial")))</f>
        <v/>
      </c>
    </row>
    <row r="87">
      <c r="A87" s="26" t="n"/>
      <c r="B87" s="21" t="n"/>
      <c r="C87" s="21" t="n"/>
      <c r="D87" s="21" t="n"/>
      <c r="E87" s="21" t="n"/>
      <c r="F87" s="22" t="n"/>
      <c r="G87" s="23">
        <f>IFERROR(IF(E87="","",VLOOKUP(E87,'Setup - Mix Design'!$A$5:$I$304,9,0)),"")</f>
        <v/>
      </c>
      <c r="H87" s="23">
        <f>IF(OR(F87="",G87=""),"",F87*G87)</f>
        <v/>
      </c>
      <c r="I87" s="23">
        <f>IF(B87="","",SUMIF('Dispatch (Challan)'!$C$5:$C$304,B87,'Dispatch (Challan)'!$F$5:$F$304))</f>
        <v/>
      </c>
      <c r="J87" s="23">
        <f>IF(F87="","",F87-I87)</f>
        <v/>
      </c>
      <c r="K87" s="23">
        <f>IF(F87="","",IF(I87=0,"Pending",IF(I87&gt;=F87,"Completed","Partial")))</f>
        <v/>
      </c>
    </row>
    <row r="88">
      <c r="A88" s="26" t="n"/>
      <c r="B88" s="21" t="n"/>
      <c r="C88" s="21" t="n"/>
      <c r="D88" s="21" t="n"/>
      <c r="E88" s="21" t="n"/>
      <c r="F88" s="22" t="n"/>
      <c r="G88" s="23">
        <f>IFERROR(IF(E88="","",VLOOKUP(E88,'Setup - Mix Design'!$A$5:$I$304,9,0)),"")</f>
        <v/>
      </c>
      <c r="H88" s="23">
        <f>IF(OR(F88="",G88=""),"",F88*G88)</f>
        <v/>
      </c>
      <c r="I88" s="23">
        <f>IF(B88="","",SUMIF('Dispatch (Challan)'!$C$5:$C$304,B88,'Dispatch (Challan)'!$F$5:$F$304))</f>
        <v/>
      </c>
      <c r="J88" s="23">
        <f>IF(F88="","",F88-I88)</f>
        <v/>
      </c>
      <c r="K88" s="23">
        <f>IF(F88="","",IF(I88=0,"Pending",IF(I88&gt;=F88,"Completed","Partial")))</f>
        <v/>
      </c>
    </row>
    <row r="89">
      <c r="A89" s="26" t="n"/>
      <c r="B89" s="21" t="n"/>
      <c r="C89" s="21" t="n"/>
      <c r="D89" s="21" t="n"/>
      <c r="E89" s="21" t="n"/>
      <c r="F89" s="22" t="n"/>
      <c r="G89" s="23">
        <f>IFERROR(IF(E89="","",VLOOKUP(E89,'Setup - Mix Design'!$A$5:$I$304,9,0)),"")</f>
        <v/>
      </c>
      <c r="H89" s="23">
        <f>IF(OR(F89="",G89=""),"",F89*G89)</f>
        <v/>
      </c>
      <c r="I89" s="23">
        <f>IF(B89="","",SUMIF('Dispatch (Challan)'!$C$5:$C$304,B89,'Dispatch (Challan)'!$F$5:$F$304))</f>
        <v/>
      </c>
      <c r="J89" s="23">
        <f>IF(F89="","",F89-I89)</f>
        <v/>
      </c>
      <c r="K89" s="23">
        <f>IF(F89="","",IF(I89=0,"Pending",IF(I89&gt;=F89,"Completed","Partial")))</f>
        <v/>
      </c>
    </row>
    <row r="90">
      <c r="A90" s="26" t="n"/>
      <c r="B90" s="21" t="n"/>
      <c r="C90" s="21" t="n"/>
      <c r="D90" s="21" t="n"/>
      <c r="E90" s="21" t="n"/>
      <c r="F90" s="22" t="n"/>
      <c r="G90" s="23">
        <f>IFERROR(IF(E90="","",VLOOKUP(E90,'Setup - Mix Design'!$A$5:$I$304,9,0)),"")</f>
        <v/>
      </c>
      <c r="H90" s="23">
        <f>IF(OR(F90="",G90=""),"",F90*G90)</f>
        <v/>
      </c>
      <c r="I90" s="23">
        <f>IF(B90="","",SUMIF('Dispatch (Challan)'!$C$5:$C$304,B90,'Dispatch (Challan)'!$F$5:$F$304))</f>
        <v/>
      </c>
      <c r="J90" s="23">
        <f>IF(F90="","",F90-I90)</f>
        <v/>
      </c>
      <c r="K90" s="23">
        <f>IF(F90="","",IF(I90=0,"Pending",IF(I90&gt;=F90,"Completed","Partial")))</f>
        <v/>
      </c>
    </row>
    <row r="91">
      <c r="A91" s="26" t="n"/>
      <c r="B91" s="21" t="n"/>
      <c r="C91" s="21" t="n"/>
      <c r="D91" s="21" t="n"/>
      <c r="E91" s="21" t="n"/>
      <c r="F91" s="22" t="n"/>
      <c r="G91" s="23">
        <f>IFERROR(IF(E91="","",VLOOKUP(E91,'Setup - Mix Design'!$A$5:$I$304,9,0)),"")</f>
        <v/>
      </c>
      <c r="H91" s="23">
        <f>IF(OR(F91="",G91=""),"",F91*G91)</f>
        <v/>
      </c>
      <c r="I91" s="23">
        <f>IF(B91="","",SUMIF('Dispatch (Challan)'!$C$5:$C$304,B91,'Dispatch (Challan)'!$F$5:$F$304))</f>
        <v/>
      </c>
      <c r="J91" s="23">
        <f>IF(F91="","",F91-I91)</f>
        <v/>
      </c>
      <c r="K91" s="23">
        <f>IF(F91="","",IF(I91=0,"Pending",IF(I91&gt;=F91,"Completed","Partial")))</f>
        <v/>
      </c>
    </row>
    <row r="92">
      <c r="A92" s="26" t="n"/>
      <c r="B92" s="21" t="n"/>
      <c r="C92" s="21" t="n"/>
      <c r="D92" s="21" t="n"/>
      <c r="E92" s="21" t="n"/>
      <c r="F92" s="22" t="n"/>
      <c r="G92" s="23">
        <f>IFERROR(IF(E92="","",VLOOKUP(E92,'Setup - Mix Design'!$A$5:$I$304,9,0)),"")</f>
        <v/>
      </c>
      <c r="H92" s="23">
        <f>IF(OR(F92="",G92=""),"",F92*G92)</f>
        <v/>
      </c>
      <c r="I92" s="23">
        <f>IF(B92="","",SUMIF('Dispatch (Challan)'!$C$5:$C$304,B92,'Dispatch (Challan)'!$F$5:$F$304))</f>
        <v/>
      </c>
      <c r="J92" s="23">
        <f>IF(F92="","",F92-I92)</f>
        <v/>
      </c>
      <c r="K92" s="23">
        <f>IF(F92="","",IF(I92=0,"Pending",IF(I92&gt;=F92,"Completed","Partial")))</f>
        <v/>
      </c>
    </row>
    <row r="93">
      <c r="A93" s="26" t="n"/>
      <c r="B93" s="21" t="n"/>
      <c r="C93" s="21" t="n"/>
      <c r="D93" s="21" t="n"/>
      <c r="E93" s="21" t="n"/>
      <c r="F93" s="22" t="n"/>
      <c r="G93" s="23">
        <f>IFERROR(IF(E93="","",VLOOKUP(E93,'Setup - Mix Design'!$A$5:$I$304,9,0)),"")</f>
        <v/>
      </c>
      <c r="H93" s="23">
        <f>IF(OR(F93="",G93=""),"",F93*G93)</f>
        <v/>
      </c>
      <c r="I93" s="23">
        <f>IF(B93="","",SUMIF('Dispatch (Challan)'!$C$5:$C$304,B93,'Dispatch (Challan)'!$F$5:$F$304))</f>
        <v/>
      </c>
      <c r="J93" s="23">
        <f>IF(F93="","",F93-I93)</f>
        <v/>
      </c>
      <c r="K93" s="23">
        <f>IF(F93="","",IF(I93=0,"Pending",IF(I93&gt;=F93,"Completed","Partial")))</f>
        <v/>
      </c>
    </row>
    <row r="94">
      <c r="A94" s="26" t="n"/>
      <c r="B94" s="21" t="n"/>
      <c r="C94" s="21" t="n"/>
      <c r="D94" s="21" t="n"/>
      <c r="E94" s="21" t="n"/>
      <c r="F94" s="22" t="n"/>
      <c r="G94" s="23">
        <f>IFERROR(IF(E94="","",VLOOKUP(E94,'Setup - Mix Design'!$A$5:$I$304,9,0)),"")</f>
        <v/>
      </c>
      <c r="H94" s="23">
        <f>IF(OR(F94="",G94=""),"",F94*G94)</f>
        <v/>
      </c>
      <c r="I94" s="23">
        <f>IF(B94="","",SUMIF('Dispatch (Challan)'!$C$5:$C$304,B94,'Dispatch (Challan)'!$F$5:$F$304))</f>
        <v/>
      </c>
      <c r="J94" s="23">
        <f>IF(F94="","",F94-I94)</f>
        <v/>
      </c>
      <c r="K94" s="23">
        <f>IF(F94="","",IF(I94=0,"Pending",IF(I94&gt;=F94,"Completed","Partial")))</f>
        <v/>
      </c>
    </row>
    <row r="95">
      <c r="A95" s="26" t="n"/>
      <c r="B95" s="21" t="n"/>
      <c r="C95" s="21" t="n"/>
      <c r="D95" s="21" t="n"/>
      <c r="E95" s="21" t="n"/>
      <c r="F95" s="22" t="n"/>
      <c r="G95" s="23">
        <f>IFERROR(IF(E95="","",VLOOKUP(E95,'Setup - Mix Design'!$A$5:$I$304,9,0)),"")</f>
        <v/>
      </c>
      <c r="H95" s="23">
        <f>IF(OR(F95="",G95=""),"",F95*G95)</f>
        <v/>
      </c>
      <c r="I95" s="23">
        <f>IF(B95="","",SUMIF('Dispatch (Challan)'!$C$5:$C$304,B95,'Dispatch (Challan)'!$F$5:$F$304))</f>
        <v/>
      </c>
      <c r="J95" s="23">
        <f>IF(F95="","",F95-I95)</f>
        <v/>
      </c>
      <c r="K95" s="23">
        <f>IF(F95="","",IF(I95=0,"Pending",IF(I95&gt;=F95,"Completed","Partial")))</f>
        <v/>
      </c>
    </row>
    <row r="96">
      <c r="A96" s="26" t="n"/>
      <c r="B96" s="21" t="n"/>
      <c r="C96" s="21" t="n"/>
      <c r="D96" s="21" t="n"/>
      <c r="E96" s="21" t="n"/>
      <c r="F96" s="22" t="n"/>
      <c r="G96" s="23">
        <f>IFERROR(IF(E96="","",VLOOKUP(E96,'Setup - Mix Design'!$A$5:$I$304,9,0)),"")</f>
        <v/>
      </c>
      <c r="H96" s="23">
        <f>IF(OR(F96="",G96=""),"",F96*G96)</f>
        <v/>
      </c>
      <c r="I96" s="23">
        <f>IF(B96="","",SUMIF('Dispatch (Challan)'!$C$5:$C$304,B96,'Dispatch (Challan)'!$F$5:$F$304))</f>
        <v/>
      </c>
      <c r="J96" s="23">
        <f>IF(F96="","",F96-I96)</f>
        <v/>
      </c>
      <c r="K96" s="23">
        <f>IF(F96="","",IF(I96=0,"Pending",IF(I96&gt;=F96,"Completed","Partial")))</f>
        <v/>
      </c>
    </row>
    <row r="97">
      <c r="A97" s="26" t="n"/>
      <c r="B97" s="21" t="n"/>
      <c r="C97" s="21" t="n"/>
      <c r="D97" s="21" t="n"/>
      <c r="E97" s="21" t="n"/>
      <c r="F97" s="22" t="n"/>
      <c r="G97" s="23">
        <f>IFERROR(IF(E97="","",VLOOKUP(E97,'Setup - Mix Design'!$A$5:$I$304,9,0)),"")</f>
        <v/>
      </c>
      <c r="H97" s="23">
        <f>IF(OR(F97="",G97=""),"",F97*G97)</f>
        <v/>
      </c>
      <c r="I97" s="23">
        <f>IF(B97="","",SUMIF('Dispatch (Challan)'!$C$5:$C$304,B97,'Dispatch (Challan)'!$F$5:$F$304))</f>
        <v/>
      </c>
      <c r="J97" s="23">
        <f>IF(F97="","",F97-I97)</f>
        <v/>
      </c>
      <c r="K97" s="23">
        <f>IF(F97="","",IF(I97=0,"Pending",IF(I97&gt;=F97,"Completed","Partial")))</f>
        <v/>
      </c>
    </row>
    <row r="98">
      <c r="A98" s="26" t="n"/>
      <c r="B98" s="21" t="n"/>
      <c r="C98" s="21" t="n"/>
      <c r="D98" s="21" t="n"/>
      <c r="E98" s="21" t="n"/>
      <c r="F98" s="22" t="n"/>
      <c r="G98" s="23">
        <f>IFERROR(IF(E98="","",VLOOKUP(E98,'Setup - Mix Design'!$A$5:$I$304,9,0)),"")</f>
        <v/>
      </c>
      <c r="H98" s="23">
        <f>IF(OR(F98="",G98=""),"",F98*G98)</f>
        <v/>
      </c>
      <c r="I98" s="23">
        <f>IF(B98="","",SUMIF('Dispatch (Challan)'!$C$5:$C$304,B98,'Dispatch (Challan)'!$F$5:$F$304))</f>
        <v/>
      </c>
      <c r="J98" s="23">
        <f>IF(F98="","",F98-I98)</f>
        <v/>
      </c>
      <c r="K98" s="23">
        <f>IF(F98="","",IF(I98=0,"Pending",IF(I98&gt;=F98,"Completed","Partial")))</f>
        <v/>
      </c>
    </row>
    <row r="99">
      <c r="A99" s="26" t="n"/>
      <c r="B99" s="21" t="n"/>
      <c r="C99" s="21" t="n"/>
      <c r="D99" s="21" t="n"/>
      <c r="E99" s="21" t="n"/>
      <c r="F99" s="22" t="n"/>
      <c r="G99" s="23">
        <f>IFERROR(IF(E99="","",VLOOKUP(E99,'Setup - Mix Design'!$A$5:$I$304,9,0)),"")</f>
        <v/>
      </c>
      <c r="H99" s="23">
        <f>IF(OR(F99="",G99=""),"",F99*G99)</f>
        <v/>
      </c>
      <c r="I99" s="23">
        <f>IF(B99="","",SUMIF('Dispatch (Challan)'!$C$5:$C$304,B99,'Dispatch (Challan)'!$F$5:$F$304))</f>
        <v/>
      </c>
      <c r="J99" s="23">
        <f>IF(F99="","",F99-I99)</f>
        <v/>
      </c>
      <c r="K99" s="23">
        <f>IF(F99="","",IF(I99=0,"Pending",IF(I99&gt;=F99,"Completed","Partial")))</f>
        <v/>
      </c>
    </row>
    <row r="100">
      <c r="A100" s="26" t="n"/>
      <c r="B100" s="21" t="n"/>
      <c r="C100" s="21" t="n"/>
      <c r="D100" s="21" t="n"/>
      <c r="E100" s="21" t="n"/>
      <c r="F100" s="22" t="n"/>
      <c r="G100" s="23">
        <f>IFERROR(IF(E100="","",VLOOKUP(E100,'Setup - Mix Design'!$A$5:$I$304,9,0)),"")</f>
        <v/>
      </c>
      <c r="H100" s="23">
        <f>IF(OR(F100="",G100=""),"",F100*G100)</f>
        <v/>
      </c>
      <c r="I100" s="23">
        <f>IF(B100="","",SUMIF('Dispatch (Challan)'!$C$5:$C$304,B100,'Dispatch (Challan)'!$F$5:$F$304))</f>
        <v/>
      </c>
      <c r="J100" s="23">
        <f>IF(F100="","",F100-I100)</f>
        <v/>
      </c>
      <c r="K100" s="23">
        <f>IF(F100="","",IF(I100=0,"Pending",IF(I100&gt;=F100,"Completed","Partial")))</f>
        <v/>
      </c>
    </row>
    <row r="101">
      <c r="A101" s="26" t="n"/>
      <c r="B101" s="21" t="n"/>
      <c r="C101" s="21" t="n"/>
      <c r="D101" s="21" t="n"/>
      <c r="E101" s="21" t="n"/>
      <c r="F101" s="22" t="n"/>
      <c r="G101" s="23">
        <f>IFERROR(IF(E101="","",VLOOKUP(E101,'Setup - Mix Design'!$A$5:$I$304,9,0)),"")</f>
        <v/>
      </c>
      <c r="H101" s="23">
        <f>IF(OR(F101="",G101=""),"",F101*G101)</f>
        <v/>
      </c>
      <c r="I101" s="23">
        <f>IF(B101="","",SUMIF('Dispatch (Challan)'!$C$5:$C$304,B101,'Dispatch (Challan)'!$F$5:$F$304))</f>
        <v/>
      </c>
      <c r="J101" s="23">
        <f>IF(F101="","",F101-I101)</f>
        <v/>
      </c>
      <c r="K101" s="23">
        <f>IF(F101="","",IF(I101=0,"Pending",IF(I101&gt;=F101,"Completed","Partial")))</f>
        <v/>
      </c>
    </row>
    <row r="102">
      <c r="A102" s="26" t="n"/>
      <c r="B102" s="21" t="n"/>
      <c r="C102" s="21" t="n"/>
      <c r="D102" s="21" t="n"/>
      <c r="E102" s="21" t="n"/>
      <c r="F102" s="22" t="n"/>
      <c r="G102" s="23">
        <f>IFERROR(IF(E102="","",VLOOKUP(E102,'Setup - Mix Design'!$A$5:$I$304,9,0)),"")</f>
        <v/>
      </c>
      <c r="H102" s="23">
        <f>IF(OR(F102="",G102=""),"",F102*G102)</f>
        <v/>
      </c>
      <c r="I102" s="23">
        <f>IF(B102="","",SUMIF('Dispatch (Challan)'!$C$5:$C$304,B102,'Dispatch (Challan)'!$F$5:$F$304))</f>
        <v/>
      </c>
      <c r="J102" s="23">
        <f>IF(F102="","",F102-I102)</f>
        <v/>
      </c>
      <c r="K102" s="23">
        <f>IF(F102="","",IF(I102=0,"Pending",IF(I102&gt;=F102,"Completed","Partial")))</f>
        <v/>
      </c>
    </row>
    <row r="103">
      <c r="A103" s="26" t="n"/>
      <c r="B103" s="21" t="n"/>
      <c r="C103" s="21" t="n"/>
      <c r="D103" s="21" t="n"/>
      <c r="E103" s="21" t="n"/>
      <c r="F103" s="22" t="n"/>
      <c r="G103" s="23">
        <f>IFERROR(IF(E103="","",VLOOKUP(E103,'Setup - Mix Design'!$A$5:$I$304,9,0)),"")</f>
        <v/>
      </c>
      <c r="H103" s="23">
        <f>IF(OR(F103="",G103=""),"",F103*G103)</f>
        <v/>
      </c>
      <c r="I103" s="23">
        <f>IF(B103="","",SUMIF('Dispatch (Challan)'!$C$5:$C$304,B103,'Dispatch (Challan)'!$F$5:$F$304))</f>
        <v/>
      </c>
      <c r="J103" s="23">
        <f>IF(F103="","",F103-I103)</f>
        <v/>
      </c>
      <c r="K103" s="23">
        <f>IF(F103="","",IF(I103=0,"Pending",IF(I103&gt;=F103,"Completed","Partial")))</f>
        <v/>
      </c>
    </row>
    <row r="104">
      <c r="A104" s="26" t="n"/>
      <c r="B104" s="21" t="n"/>
      <c r="C104" s="21" t="n"/>
      <c r="D104" s="21" t="n"/>
      <c r="E104" s="21" t="n"/>
      <c r="F104" s="22" t="n"/>
      <c r="G104" s="23">
        <f>IFERROR(IF(E104="","",VLOOKUP(E104,'Setup - Mix Design'!$A$5:$I$304,9,0)),"")</f>
        <v/>
      </c>
      <c r="H104" s="23">
        <f>IF(OR(F104="",G104=""),"",F104*G104)</f>
        <v/>
      </c>
      <c r="I104" s="23">
        <f>IF(B104="","",SUMIF('Dispatch (Challan)'!$C$5:$C$304,B104,'Dispatch (Challan)'!$F$5:$F$304))</f>
        <v/>
      </c>
      <c r="J104" s="23">
        <f>IF(F104="","",F104-I104)</f>
        <v/>
      </c>
      <c r="K104" s="23">
        <f>IF(F104="","",IF(I104=0,"Pending",IF(I104&gt;=F104,"Completed","Partial")))</f>
        <v/>
      </c>
    </row>
    <row r="105">
      <c r="A105" s="26" t="n"/>
      <c r="B105" s="21" t="n"/>
      <c r="C105" s="21" t="n"/>
      <c r="D105" s="21" t="n"/>
      <c r="E105" s="21" t="n"/>
      <c r="F105" s="22" t="n"/>
      <c r="G105" s="23">
        <f>IFERROR(IF(E105="","",VLOOKUP(E105,'Setup - Mix Design'!$A$5:$I$304,9,0)),"")</f>
        <v/>
      </c>
      <c r="H105" s="23">
        <f>IF(OR(F105="",G105=""),"",F105*G105)</f>
        <v/>
      </c>
      <c r="I105" s="23">
        <f>IF(B105="","",SUMIF('Dispatch (Challan)'!$C$5:$C$304,B105,'Dispatch (Challan)'!$F$5:$F$304))</f>
        <v/>
      </c>
      <c r="J105" s="23">
        <f>IF(F105="","",F105-I105)</f>
        <v/>
      </c>
      <c r="K105" s="23">
        <f>IF(F105="","",IF(I105=0,"Pending",IF(I105&gt;=F105,"Completed","Partial")))</f>
        <v/>
      </c>
    </row>
    <row r="106">
      <c r="A106" s="26" t="n"/>
      <c r="B106" s="21" t="n"/>
      <c r="C106" s="21" t="n"/>
      <c r="D106" s="21" t="n"/>
      <c r="E106" s="21" t="n"/>
      <c r="F106" s="22" t="n"/>
      <c r="G106" s="23">
        <f>IFERROR(IF(E106="","",VLOOKUP(E106,'Setup - Mix Design'!$A$5:$I$304,9,0)),"")</f>
        <v/>
      </c>
      <c r="H106" s="23">
        <f>IF(OR(F106="",G106=""),"",F106*G106)</f>
        <v/>
      </c>
      <c r="I106" s="23">
        <f>IF(B106="","",SUMIF('Dispatch (Challan)'!$C$5:$C$304,B106,'Dispatch (Challan)'!$F$5:$F$304))</f>
        <v/>
      </c>
      <c r="J106" s="23">
        <f>IF(F106="","",F106-I106)</f>
        <v/>
      </c>
      <c r="K106" s="23">
        <f>IF(F106="","",IF(I106=0,"Pending",IF(I106&gt;=F106,"Completed","Partial")))</f>
        <v/>
      </c>
    </row>
    <row r="107">
      <c r="A107" s="26" t="n"/>
      <c r="B107" s="21" t="n"/>
      <c r="C107" s="21" t="n"/>
      <c r="D107" s="21" t="n"/>
      <c r="E107" s="21" t="n"/>
      <c r="F107" s="22" t="n"/>
      <c r="G107" s="23">
        <f>IFERROR(IF(E107="","",VLOOKUP(E107,'Setup - Mix Design'!$A$5:$I$304,9,0)),"")</f>
        <v/>
      </c>
      <c r="H107" s="23">
        <f>IF(OR(F107="",G107=""),"",F107*G107)</f>
        <v/>
      </c>
      <c r="I107" s="23">
        <f>IF(B107="","",SUMIF('Dispatch (Challan)'!$C$5:$C$304,B107,'Dispatch (Challan)'!$F$5:$F$304))</f>
        <v/>
      </c>
      <c r="J107" s="23">
        <f>IF(F107="","",F107-I107)</f>
        <v/>
      </c>
      <c r="K107" s="23">
        <f>IF(F107="","",IF(I107=0,"Pending",IF(I107&gt;=F107,"Completed","Partial")))</f>
        <v/>
      </c>
    </row>
    <row r="108">
      <c r="A108" s="26" t="n"/>
      <c r="B108" s="21" t="n"/>
      <c r="C108" s="21" t="n"/>
      <c r="D108" s="21" t="n"/>
      <c r="E108" s="21" t="n"/>
      <c r="F108" s="22" t="n"/>
      <c r="G108" s="23">
        <f>IFERROR(IF(E108="","",VLOOKUP(E108,'Setup - Mix Design'!$A$5:$I$304,9,0)),"")</f>
        <v/>
      </c>
      <c r="H108" s="23">
        <f>IF(OR(F108="",G108=""),"",F108*G108)</f>
        <v/>
      </c>
      <c r="I108" s="23">
        <f>IF(B108="","",SUMIF('Dispatch (Challan)'!$C$5:$C$304,B108,'Dispatch (Challan)'!$F$5:$F$304))</f>
        <v/>
      </c>
      <c r="J108" s="23">
        <f>IF(F108="","",F108-I108)</f>
        <v/>
      </c>
      <c r="K108" s="23">
        <f>IF(F108="","",IF(I108=0,"Pending",IF(I108&gt;=F108,"Completed","Partial")))</f>
        <v/>
      </c>
    </row>
    <row r="109">
      <c r="A109" s="26" t="n"/>
      <c r="B109" s="21" t="n"/>
      <c r="C109" s="21" t="n"/>
      <c r="D109" s="21" t="n"/>
      <c r="E109" s="21" t="n"/>
      <c r="F109" s="22" t="n"/>
      <c r="G109" s="23">
        <f>IFERROR(IF(E109="","",VLOOKUP(E109,'Setup - Mix Design'!$A$5:$I$304,9,0)),"")</f>
        <v/>
      </c>
      <c r="H109" s="23">
        <f>IF(OR(F109="",G109=""),"",F109*G109)</f>
        <v/>
      </c>
      <c r="I109" s="23">
        <f>IF(B109="","",SUMIF('Dispatch (Challan)'!$C$5:$C$304,B109,'Dispatch (Challan)'!$F$5:$F$304))</f>
        <v/>
      </c>
      <c r="J109" s="23">
        <f>IF(F109="","",F109-I109)</f>
        <v/>
      </c>
      <c r="K109" s="23">
        <f>IF(F109="","",IF(I109=0,"Pending",IF(I109&gt;=F109,"Completed","Partial")))</f>
        <v/>
      </c>
    </row>
    <row r="110">
      <c r="A110" s="26" t="n"/>
      <c r="B110" s="21" t="n"/>
      <c r="C110" s="21" t="n"/>
      <c r="D110" s="21" t="n"/>
      <c r="E110" s="21" t="n"/>
      <c r="F110" s="22" t="n"/>
      <c r="G110" s="23">
        <f>IFERROR(IF(E110="","",VLOOKUP(E110,'Setup - Mix Design'!$A$5:$I$304,9,0)),"")</f>
        <v/>
      </c>
      <c r="H110" s="23">
        <f>IF(OR(F110="",G110=""),"",F110*G110)</f>
        <v/>
      </c>
      <c r="I110" s="23">
        <f>IF(B110="","",SUMIF('Dispatch (Challan)'!$C$5:$C$304,B110,'Dispatch (Challan)'!$F$5:$F$304))</f>
        <v/>
      </c>
      <c r="J110" s="23">
        <f>IF(F110="","",F110-I110)</f>
        <v/>
      </c>
      <c r="K110" s="23">
        <f>IF(F110="","",IF(I110=0,"Pending",IF(I110&gt;=F110,"Completed","Partial")))</f>
        <v/>
      </c>
    </row>
    <row r="111">
      <c r="A111" s="26" t="n"/>
      <c r="B111" s="21" t="n"/>
      <c r="C111" s="21" t="n"/>
      <c r="D111" s="21" t="n"/>
      <c r="E111" s="21" t="n"/>
      <c r="F111" s="22" t="n"/>
      <c r="G111" s="23">
        <f>IFERROR(IF(E111="","",VLOOKUP(E111,'Setup - Mix Design'!$A$5:$I$304,9,0)),"")</f>
        <v/>
      </c>
      <c r="H111" s="23">
        <f>IF(OR(F111="",G111=""),"",F111*G111)</f>
        <v/>
      </c>
      <c r="I111" s="23">
        <f>IF(B111="","",SUMIF('Dispatch (Challan)'!$C$5:$C$304,B111,'Dispatch (Challan)'!$F$5:$F$304))</f>
        <v/>
      </c>
      <c r="J111" s="23">
        <f>IF(F111="","",F111-I111)</f>
        <v/>
      </c>
      <c r="K111" s="23">
        <f>IF(F111="","",IF(I111=0,"Pending",IF(I111&gt;=F111,"Completed","Partial")))</f>
        <v/>
      </c>
    </row>
    <row r="112">
      <c r="A112" s="26" t="n"/>
      <c r="B112" s="21" t="n"/>
      <c r="C112" s="21" t="n"/>
      <c r="D112" s="21" t="n"/>
      <c r="E112" s="21" t="n"/>
      <c r="F112" s="22" t="n"/>
      <c r="G112" s="23">
        <f>IFERROR(IF(E112="","",VLOOKUP(E112,'Setup - Mix Design'!$A$5:$I$304,9,0)),"")</f>
        <v/>
      </c>
      <c r="H112" s="23">
        <f>IF(OR(F112="",G112=""),"",F112*G112)</f>
        <v/>
      </c>
      <c r="I112" s="23">
        <f>IF(B112="","",SUMIF('Dispatch (Challan)'!$C$5:$C$304,B112,'Dispatch (Challan)'!$F$5:$F$304))</f>
        <v/>
      </c>
      <c r="J112" s="23">
        <f>IF(F112="","",F112-I112)</f>
        <v/>
      </c>
      <c r="K112" s="23">
        <f>IF(F112="","",IF(I112=0,"Pending",IF(I112&gt;=F112,"Completed","Partial")))</f>
        <v/>
      </c>
    </row>
    <row r="113">
      <c r="A113" s="26" t="n"/>
      <c r="B113" s="21" t="n"/>
      <c r="C113" s="21" t="n"/>
      <c r="D113" s="21" t="n"/>
      <c r="E113" s="21" t="n"/>
      <c r="F113" s="22" t="n"/>
      <c r="G113" s="23">
        <f>IFERROR(IF(E113="","",VLOOKUP(E113,'Setup - Mix Design'!$A$5:$I$304,9,0)),"")</f>
        <v/>
      </c>
      <c r="H113" s="23">
        <f>IF(OR(F113="",G113=""),"",F113*G113)</f>
        <v/>
      </c>
      <c r="I113" s="23">
        <f>IF(B113="","",SUMIF('Dispatch (Challan)'!$C$5:$C$304,B113,'Dispatch (Challan)'!$F$5:$F$304))</f>
        <v/>
      </c>
      <c r="J113" s="23">
        <f>IF(F113="","",F113-I113)</f>
        <v/>
      </c>
      <c r="K113" s="23">
        <f>IF(F113="","",IF(I113=0,"Pending",IF(I113&gt;=F113,"Completed","Partial")))</f>
        <v/>
      </c>
    </row>
    <row r="114">
      <c r="A114" s="26" t="n"/>
      <c r="B114" s="21" t="n"/>
      <c r="C114" s="21" t="n"/>
      <c r="D114" s="21" t="n"/>
      <c r="E114" s="21" t="n"/>
      <c r="F114" s="22" t="n"/>
      <c r="G114" s="23">
        <f>IFERROR(IF(E114="","",VLOOKUP(E114,'Setup - Mix Design'!$A$5:$I$304,9,0)),"")</f>
        <v/>
      </c>
      <c r="H114" s="23">
        <f>IF(OR(F114="",G114=""),"",F114*G114)</f>
        <v/>
      </c>
      <c r="I114" s="23">
        <f>IF(B114="","",SUMIF('Dispatch (Challan)'!$C$5:$C$304,B114,'Dispatch (Challan)'!$F$5:$F$304))</f>
        <v/>
      </c>
      <c r="J114" s="23">
        <f>IF(F114="","",F114-I114)</f>
        <v/>
      </c>
      <c r="K114" s="23">
        <f>IF(F114="","",IF(I114=0,"Pending",IF(I114&gt;=F114,"Completed","Partial")))</f>
        <v/>
      </c>
    </row>
    <row r="115">
      <c r="A115" s="26" t="n"/>
      <c r="B115" s="21" t="n"/>
      <c r="C115" s="21" t="n"/>
      <c r="D115" s="21" t="n"/>
      <c r="E115" s="21" t="n"/>
      <c r="F115" s="22" t="n"/>
      <c r="G115" s="23">
        <f>IFERROR(IF(E115="","",VLOOKUP(E115,'Setup - Mix Design'!$A$5:$I$304,9,0)),"")</f>
        <v/>
      </c>
      <c r="H115" s="23">
        <f>IF(OR(F115="",G115=""),"",F115*G115)</f>
        <v/>
      </c>
      <c r="I115" s="23">
        <f>IF(B115="","",SUMIF('Dispatch (Challan)'!$C$5:$C$304,B115,'Dispatch (Challan)'!$F$5:$F$304))</f>
        <v/>
      </c>
      <c r="J115" s="23">
        <f>IF(F115="","",F115-I115)</f>
        <v/>
      </c>
      <c r="K115" s="23">
        <f>IF(F115="","",IF(I115=0,"Pending",IF(I115&gt;=F115,"Completed","Partial")))</f>
        <v/>
      </c>
    </row>
    <row r="116">
      <c r="A116" s="26" t="n"/>
      <c r="B116" s="21" t="n"/>
      <c r="C116" s="21" t="n"/>
      <c r="D116" s="21" t="n"/>
      <c r="E116" s="21" t="n"/>
      <c r="F116" s="22" t="n"/>
      <c r="G116" s="23">
        <f>IFERROR(IF(E116="","",VLOOKUP(E116,'Setup - Mix Design'!$A$5:$I$304,9,0)),"")</f>
        <v/>
      </c>
      <c r="H116" s="23">
        <f>IF(OR(F116="",G116=""),"",F116*G116)</f>
        <v/>
      </c>
      <c r="I116" s="23">
        <f>IF(B116="","",SUMIF('Dispatch (Challan)'!$C$5:$C$304,B116,'Dispatch (Challan)'!$F$5:$F$304))</f>
        <v/>
      </c>
      <c r="J116" s="23">
        <f>IF(F116="","",F116-I116)</f>
        <v/>
      </c>
      <c r="K116" s="23">
        <f>IF(F116="","",IF(I116=0,"Pending",IF(I116&gt;=F116,"Completed","Partial")))</f>
        <v/>
      </c>
    </row>
    <row r="117">
      <c r="A117" s="26" t="n"/>
      <c r="B117" s="21" t="n"/>
      <c r="C117" s="21" t="n"/>
      <c r="D117" s="21" t="n"/>
      <c r="E117" s="21" t="n"/>
      <c r="F117" s="22" t="n"/>
      <c r="G117" s="23">
        <f>IFERROR(IF(E117="","",VLOOKUP(E117,'Setup - Mix Design'!$A$5:$I$304,9,0)),"")</f>
        <v/>
      </c>
      <c r="H117" s="23">
        <f>IF(OR(F117="",G117=""),"",F117*G117)</f>
        <v/>
      </c>
      <c r="I117" s="23">
        <f>IF(B117="","",SUMIF('Dispatch (Challan)'!$C$5:$C$304,B117,'Dispatch (Challan)'!$F$5:$F$304))</f>
        <v/>
      </c>
      <c r="J117" s="23">
        <f>IF(F117="","",F117-I117)</f>
        <v/>
      </c>
      <c r="K117" s="23">
        <f>IF(F117="","",IF(I117=0,"Pending",IF(I117&gt;=F117,"Completed","Partial")))</f>
        <v/>
      </c>
    </row>
    <row r="118">
      <c r="A118" s="26" t="n"/>
      <c r="B118" s="21" t="n"/>
      <c r="C118" s="21" t="n"/>
      <c r="D118" s="21" t="n"/>
      <c r="E118" s="21" t="n"/>
      <c r="F118" s="22" t="n"/>
      <c r="G118" s="23">
        <f>IFERROR(IF(E118="","",VLOOKUP(E118,'Setup - Mix Design'!$A$5:$I$304,9,0)),"")</f>
        <v/>
      </c>
      <c r="H118" s="23">
        <f>IF(OR(F118="",G118=""),"",F118*G118)</f>
        <v/>
      </c>
      <c r="I118" s="23">
        <f>IF(B118="","",SUMIF('Dispatch (Challan)'!$C$5:$C$304,B118,'Dispatch (Challan)'!$F$5:$F$304))</f>
        <v/>
      </c>
      <c r="J118" s="23">
        <f>IF(F118="","",F118-I118)</f>
        <v/>
      </c>
      <c r="K118" s="23">
        <f>IF(F118="","",IF(I118=0,"Pending",IF(I118&gt;=F118,"Completed","Partial")))</f>
        <v/>
      </c>
    </row>
    <row r="119">
      <c r="A119" s="26" t="n"/>
      <c r="B119" s="21" t="n"/>
      <c r="C119" s="21" t="n"/>
      <c r="D119" s="21" t="n"/>
      <c r="E119" s="21" t="n"/>
      <c r="F119" s="22" t="n"/>
      <c r="G119" s="23">
        <f>IFERROR(IF(E119="","",VLOOKUP(E119,'Setup - Mix Design'!$A$5:$I$304,9,0)),"")</f>
        <v/>
      </c>
      <c r="H119" s="23">
        <f>IF(OR(F119="",G119=""),"",F119*G119)</f>
        <v/>
      </c>
      <c r="I119" s="23">
        <f>IF(B119="","",SUMIF('Dispatch (Challan)'!$C$5:$C$304,B119,'Dispatch (Challan)'!$F$5:$F$304))</f>
        <v/>
      </c>
      <c r="J119" s="23">
        <f>IF(F119="","",F119-I119)</f>
        <v/>
      </c>
      <c r="K119" s="23">
        <f>IF(F119="","",IF(I119=0,"Pending",IF(I119&gt;=F119,"Completed","Partial")))</f>
        <v/>
      </c>
    </row>
    <row r="120">
      <c r="A120" s="26" t="n"/>
      <c r="B120" s="21" t="n"/>
      <c r="C120" s="21" t="n"/>
      <c r="D120" s="21" t="n"/>
      <c r="E120" s="21" t="n"/>
      <c r="F120" s="22" t="n"/>
      <c r="G120" s="23">
        <f>IFERROR(IF(E120="","",VLOOKUP(E120,'Setup - Mix Design'!$A$5:$I$304,9,0)),"")</f>
        <v/>
      </c>
      <c r="H120" s="23">
        <f>IF(OR(F120="",G120=""),"",F120*G120)</f>
        <v/>
      </c>
      <c r="I120" s="23">
        <f>IF(B120="","",SUMIF('Dispatch (Challan)'!$C$5:$C$304,B120,'Dispatch (Challan)'!$F$5:$F$304))</f>
        <v/>
      </c>
      <c r="J120" s="23">
        <f>IF(F120="","",F120-I120)</f>
        <v/>
      </c>
      <c r="K120" s="23">
        <f>IF(F120="","",IF(I120=0,"Pending",IF(I120&gt;=F120,"Completed","Partial")))</f>
        <v/>
      </c>
    </row>
    <row r="121">
      <c r="A121" s="26" t="n"/>
      <c r="B121" s="21" t="n"/>
      <c r="C121" s="21" t="n"/>
      <c r="D121" s="21" t="n"/>
      <c r="E121" s="21" t="n"/>
      <c r="F121" s="22" t="n"/>
      <c r="G121" s="23">
        <f>IFERROR(IF(E121="","",VLOOKUP(E121,'Setup - Mix Design'!$A$5:$I$304,9,0)),"")</f>
        <v/>
      </c>
      <c r="H121" s="23">
        <f>IF(OR(F121="",G121=""),"",F121*G121)</f>
        <v/>
      </c>
      <c r="I121" s="23">
        <f>IF(B121="","",SUMIF('Dispatch (Challan)'!$C$5:$C$304,B121,'Dispatch (Challan)'!$F$5:$F$304))</f>
        <v/>
      </c>
      <c r="J121" s="23">
        <f>IF(F121="","",F121-I121)</f>
        <v/>
      </c>
      <c r="K121" s="23">
        <f>IF(F121="","",IF(I121=0,"Pending",IF(I121&gt;=F121,"Completed","Partial")))</f>
        <v/>
      </c>
    </row>
    <row r="122">
      <c r="A122" s="26" t="n"/>
      <c r="B122" s="21" t="n"/>
      <c r="C122" s="21" t="n"/>
      <c r="D122" s="21" t="n"/>
      <c r="E122" s="21" t="n"/>
      <c r="F122" s="22" t="n"/>
      <c r="G122" s="23">
        <f>IFERROR(IF(E122="","",VLOOKUP(E122,'Setup - Mix Design'!$A$5:$I$304,9,0)),"")</f>
        <v/>
      </c>
      <c r="H122" s="23">
        <f>IF(OR(F122="",G122=""),"",F122*G122)</f>
        <v/>
      </c>
      <c r="I122" s="23">
        <f>IF(B122="","",SUMIF('Dispatch (Challan)'!$C$5:$C$304,B122,'Dispatch (Challan)'!$F$5:$F$304))</f>
        <v/>
      </c>
      <c r="J122" s="23">
        <f>IF(F122="","",F122-I122)</f>
        <v/>
      </c>
      <c r="K122" s="23">
        <f>IF(F122="","",IF(I122=0,"Pending",IF(I122&gt;=F122,"Completed","Partial")))</f>
        <v/>
      </c>
    </row>
    <row r="123">
      <c r="A123" s="26" t="n"/>
      <c r="B123" s="21" t="n"/>
      <c r="C123" s="21" t="n"/>
      <c r="D123" s="21" t="n"/>
      <c r="E123" s="21" t="n"/>
      <c r="F123" s="22" t="n"/>
      <c r="G123" s="23">
        <f>IFERROR(IF(E123="","",VLOOKUP(E123,'Setup - Mix Design'!$A$5:$I$304,9,0)),"")</f>
        <v/>
      </c>
      <c r="H123" s="23">
        <f>IF(OR(F123="",G123=""),"",F123*G123)</f>
        <v/>
      </c>
      <c r="I123" s="23">
        <f>IF(B123="","",SUMIF('Dispatch (Challan)'!$C$5:$C$304,B123,'Dispatch (Challan)'!$F$5:$F$304))</f>
        <v/>
      </c>
      <c r="J123" s="23">
        <f>IF(F123="","",F123-I123)</f>
        <v/>
      </c>
      <c r="K123" s="23">
        <f>IF(F123="","",IF(I123=0,"Pending",IF(I123&gt;=F123,"Completed","Partial")))</f>
        <v/>
      </c>
    </row>
    <row r="124">
      <c r="A124" s="26" t="n"/>
      <c r="B124" s="21" t="n"/>
      <c r="C124" s="21" t="n"/>
      <c r="D124" s="21" t="n"/>
      <c r="E124" s="21" t="n"/>
      <c r="F124" s="22" t="n"/>
      <c r="G124" s="23">
        <f>IFERROR(IF(E124="","",VLOOKUP(E124,'Setup - Mix Design'!$A$5:$I$304,9,0)),"")</f>
        <v/>
      </c>
      <c r="H124" s="23">
        <f>IF(OR(F124="",G124=""),"",F124*G124)</f>
        <v/>
      </c>
      <c r="I124" s="23">
        <f>IF(B124="","",SUMIF('Dispatch (Challan)'!$C$5:$C$304,B124,'Dispatch (Challan)'!$F$5:$F$304))</f>
        <v/>
      </c>
      <c r="J124" s="23">
        <f>IF(F124="","",F124-I124)</f>
        <v/>
      </c>
      <c r="K124" s="23">
        <f>IF(F124="","",IF(I124=0,"Pending",IF(I124&gt;=F124,"Completed","Partial")))</f>
        <v/>
      </c>
    </row>
    <row r="125">
      <c r="A125" s="26" t="n"/>
      <c r="B125" s="21" t="n"/>
      <c r="C125" s="21" t="n"/>
      <c r="D125" s="21" t="n"/>
      <c r="E125" s="21" t="n"/>
      <c r="F125" s="22" t="n"/>
      <c r="G125" s="23">
        <f>IFERROR(IF(E125="","",VLOOKUP(E125,'Setup - Mix Design'!$A$5:$I$304,9,0)),"")</f>
        <v/>
      </c>
      <c r="H125" s="23">
        <f>IF(OR(F125="",G125=""),"",F125*G125)</f>
        <v/>
      </c>
      <c r="I125" s="23">
        <f>IF(B125="","",SUMIF('Dispatch (Challan)'!$C$5:$C$304,B125,'Dispatch (Challan)'!$F$5:$F$304))</f>
        <v/>
      </c>
      <c r="J125" s="23">
        <f>IF(F125="","",F125-I125)</f>
        <v/>
      </c>
      <c r="K125" s="23">
        <f>IF(F125="","",IF(I125=0,"Pending",IF(I125&gt;=F125,"Completed","Partial")))</f>
        <v/>
      </c>
    </row>
    <row r="126">
      <c r="A126" s="26" t="n"/>
      <c r="B126" s="21" t="n"/>
      <c r="C126" s="21" t="n"/>
      <c r="D126" s="21" t="n"/>
      <c r="E126" s="21" t="n"/>
      <c r="F126" s="22" t="n"/>
      <c r="G126" s="23">
        <f>IFERROR(IF(E126="","",VLOOKUP(E126,'Setup - Mix Design'!$A$5:$I$304,9,0)),"")</f>
        <v/>
      </c>
      <c r="H126" s="23">
        <f>IF(OR(F126="",G126=""),"",F126*G126)</f>
        <v/>
      </c>
      <c r="I126" s="23">
        <f>IF(B126="","",SUMIF('Dispatch (Challan)'!$C$5:$C$304,B126,'Dispatch (Challan)'!$F$5:$F$304))</f>
        <v/>
      </c>
      <c r="J126" s="23">
        <f>IF(F126="","",F126-I126)</f>
        <v/>
      </c>
      <c r="K126" s="23">
        <f>IF(F126="","",IF(I126=0,"Pending",IF(I126&gt;=F126,"Completed","Partial")))</f>
        <v/>
      </c>
    </row>
    <row r="127">
      <c r="A127" s="26" t="n"/>
      <c r="B127" s="21" t="n"/>
      <c r="C127" s="21" t="n"/>
      <c r="D127" s="21" t="n"/>
      <c r="E127" s="21" t="n"/>
      <c r="F127" s="22" t="n"/>
      <c r="G127" s="23">
        <f>IFERROR(IF(E127="","",VLOOKUP(E127,'Setup - Mix Design'!$A$5:$I$304,9,0)),"")</f>
        <v/>
      </c>
      <c r="H127" s="23">
        <f>IF(OR(F127="",G127=""),"",F127*G127)</f>
        <v/>
      </c>
      <c r="I127" s="23">
        <f>IF(B127="","",SUMIF('Dispatch (Challan)'!$C$5:$C$304,B127,'Dispatch (Challan)'!$F$5:$F$304))</f>
        <v/>
      </c>
      <c r="J127" s="23">
        <f>IF(F127="","",F127-I127)</f>
        <v/>
      </c>
      <c r="K127" s="23">
        <f>IF(F127="","",IF(I127=0,"Pending",IF(I127&gt;=F127,"Completed","Partial")))</f>
        <v/>
      </c>
    </row>
    <row r="128">
      <c r="A128" s="26" t="n"/>
      <c r="B128" s="21" t="n"/>
      <c r="C128" s="21" t="n"/>
      <c r="D128" s="21" t="n"/>
      <c r="E128" s="21" t="n"/>
      <c r="F128" s="22" t="n"/>
      <c r="G128" s="23">
        <f>IFERROR(IF(E128="","",VLOOKUP(E128,'Setup - Mix Design'!$A$5:$I$304,9,0)),"")</f>
        <v/>
      </c>
      <c r="H128" s="23">
        <f>IF(OR(F128="",G128=""),"",F128*G128)</f>
        <v/>
      </c>
      <c r="I128" s="23">
        <f>IF(B128="","",SUMIF('Dispatch (Challan)'!$C$5:$C$304,B128,'Dispatch (Challan)'!$F$5:$F$304))</f>
        <v/>
      </c>
      <c r="J128" s="23">
        <f>IF(F128="","",F128-I128)</f>
        <v/>
      </c>
      <c r="K128" s="23">
        <f>IF(F128="","",IF(I128=0,"Pending",IF(I128&gt;=F128,"Completed","Partial")))</f>
        <v/>
      </c>
    </row>
    <row r="129">
      <c r="A129" s="26" t="n"/>
      <c r="B129" s="21" t="n"/>
      <c r="C129" s="21" t="n"/>
      <c r="D129" s="21" t="n"/>
      <c r="E129" s="21" t="n"/>
      <c r="F129" s="22" t="n"/>
      <c r="G129" s="23">
        <f>IFERROR(IF(E129="","",VLOOKUP(E129,'Setup - Mix Design'!$A$5:$I$304,9,0)),"")</f>
        <v/>
      </c>
      <c r="H129" s="23">
        <f>IF(OR(F129="",G129=""),"",F129*G129)</f>
        <v/>
      </c>
      <c r="I129" s="23">
        <f>IF(B129="","",SUMIF('Dispatch (Challan)'!$C$5:$C$304,B129,'Dispatch (Challan)'!$F$5:$F$304))</f>
        <v/>
      </c>
      <c r="J129" s="23">
        <f>IF(F129="","",F129-I129)</f>
        <v/>
      </c>
      <c r="K129" s="23">
        <f>IF(F129="","",IF(I129=0,"Pending",IF(I129&gt;=F129,"Completed","Partial")))</f>
        <v/>
      </c>
    </row>
    <row r="130">
      <c r="A130" s="26" t="n"/>
      <c r="B130" s="21" t="n"/>
      <c r="C130" s="21" t="n"/>
      <c r="D130" s="21" t="n"/>
      <c r="E130" s="21" t="n"/>
      <c r="F130" s="22" t="n"/>
      <c r="G130" s="23">
        <f>IFERROR(IF(E130="","",VLOOKUP(E130,'Setup - Mix Design'!$A$5:$I$304,9,0)),"")</f>
        <v/>
      </c>
      <c r="H130" s="23">
        <f>IF(OR(F130="",G130=""),"",F130*G130)</f>
        <v/>
      </c>
      <c r="I130" s="23">
        <f>IF(B130="","",SUMIF('Dispatch (Challan)'!$C$5:$C$304,B130,'Dispatch (Challan)'!$F$5:$F$304))</f>
        <v/>
      </c>
      <c r="J130" s="23">
        <f>IF(F130="","",F130-I130)</f>
        <v/>
      </c>
      <c r="K130" s="23">
        <f>IF(F130="","",IF(I130=0,"Pending",IF(I130&gt;=F130,"Completed","Partial")))</f>
        <v/>
      </c>
    </row>
    <row r="131">
      <c r="A131" s="26" t="n"/>
      <c r="B131" s="21" t="n"/>
      <c r="C131" s="21" t="n"/>
      <c r="D131" s="21" t="n"/>
      <c r="E131" s="21" t="n"/>
      <c r="F131" s="22" t="n"/>
      <c r="G131" s="23">
        <f>IFERROR(IF(E131="","",VLOOKUP(E131,'Setup - Mix Design'!$A$5:$I$304,9,0)),"")</f>
        <v/>
      </c>
      <c r="H131" s="23">
        <f>IF(OR(F131="",G131=""),"",F131*G131)</f>
        <v/>
      </c>
      <c r="I131" s="23">
        <f>IF(B131="","",SUMIF('Dispatch (Challan)'!$C$5:$C$304,B131,'Dispatch (Challan)'!$F$5:$F$304))</f>
        <v/>
      </c>
      <c r="J131" s="23">
        <f>IF(F131="","",F131-I131)</f>
        <v/>
      </c>
      <c r="K131" s="23">
        <f>IF(F131="","",IF(I131=0,"Pending",IF(I131&gt;=F131,"Completed","Partial")))</f>
        <v/>
      </c>
    </row>
    <row r="132">
      <c r="A132" s="26" t="n"/>
      <c r="B132" s="21" t="n"/>
      <c r="C132" s="21" t="n"/>
      <c r="D132" s="21" t="n"/>
      <c r="E132" s="21" t="n"/>
      <c r="F132" s="22" t="n"/>
      <c r="G132" s="23">
        <f>IFERROR(IF(E132="","",VLOOKUP(E132,'Setup - Mix Design'!$A$5:$I$304,9,0)),"")</f>
        <v/>
      </c>
      <c r="H132" s="23">
        <f>IF(OR(F132="",G132=""),"",F132*G132)</f>
        <v/>
      </c>
      <c r="I132" s="23">
        <f>IF(B132="","",SUMIF('Dispatch (Challan)'!$C$5:$C$304,B132,'Dispatch (Challan)'!$F$5:$F$304))</f>
        <v/>
      </c>
      <c r="J132" s="23">
        <f>IF(F132="","",F132-I132)</f>
        <v/>
      </c>
      <c r="K132" s="23">
        <f>IF(F132="","",IF(I132=0,"Pending",IF(I132&gt;=F132,"Completed","Partial")))</f>
        <v/>
      </c>
    </row>
    <row r="133">
      <c r="A133" s="26" t="n"/>
      <c r="B133" s="21" t="n"/>
      <c r="C133" s="21" t="n"/>
      <c r="D133" s="21" t="n"/>
      <c r="E133" s="21" t="n"/>
      <c r="F133" s="22" t="n"/>
      <c r="G133" s="23">
        <f>IFERROR(IF(E133="","",VLOOKUP(E133,'Setup - Mix Design'!$A$5:$I$304,9,0)),"")</f>
        <v/>
      </c>
      <c r="H133" s="23">
        <f>IF(OR(F133="",G133=""),"",F133*G133)</f>
        <v/>
      </c>
      <c r="I133" s="23">
        <f>IF(B133="","",SUMIF('Dispatch (Challan)'!$C$5:$C$304,B133,'Dispatch (Challan)'!$F$5:$F$304))</f>
        <v/>
      </c>
      <c r="J133" s="23">
        <f>IF(F133="","",F133-I133)</f>
        <v/>
      </c>
      <c r="K133" s="23">
        <f>IF(F133="","",IF(I133=0,"Pending",IF(I133&gt;=F133,"Completed","Partial")))</f>
        <v/>
      </c>
    </row>
    <row r="134">
      <c r="A134" s="26" t="n"/>
      <c r="B134" s="21" t="n"/>
      <c r="C134" s="21" t="n"/>
      <c r="D134" s="21" t="n"/>
      <c r="E134" s="21" t="n"/>
      <c r="F134" s="22" t="n"/>
      <c r="G134" s="23">
        <f>IFERROR(IF(E134="","",VLOOKUP(E134,'Setup - Mix Design'!$A$5:$I$304,9,0)),"")</f>
        <v/>
      </c>
      <c r="H134" s="23">
        <f>IF(OR(F134="",G134=""),"",F134*G134)</f>
        <v/>
      </c>
      <c r="I134" s="23">
        <f>IF(B134="","",SUMIF('Dispatch (Challan)'!$C$5:$C$304,B134,'Dispatch (Challan)'!$F$5:$F$304))</f>
        <v/>
      </c>
      <c r="J134" s="23">
        <f>IF(F134="","",F134-I134)</f>
        <v/>
      </c>
      <c r="K134" s="23">
        <f>IF(F134="","",IF(I134=0,"Pending",IF(I134&gt;=F134,"Completed","Partial")))</f>
        <v/>
      </c>
    </row>
    <row r="135">
      <c r="A135" s="26" t="n"/>
      <c r="B135" s="21" t="n"/>
      <c r="C135" s="21" t="n"/>
      <c r="D135" s="21" t="n"/>
      <c r="E135" s="21" t="n"/>
      <c r="F135" s="22" t="n"/>
      <c r="G135" s="23">
        <f>IFERROR(IF(E135="","",VLOOKUP(E135,'Setup - Mix Design'!$A$5:$I$304,9,0)),"")</f>
        <v/>
      </c>
      <c r="H135" s="23">
        <f>IF(OR(F135="",G135=""),"",F135*G135)</f>
        <v/>
      </c>
      <c r="I135" s="23">
        <f>IF(B135="","",SUMIF('Dispatch (Challan)'!$C$5:$C$304,B135,'Dispatch (Challan)'!$F$5:$F$304))</f>
        <v/>
      </c>
      <c r="J135" s="23">
        <f>IF(F135="","",F135-I135)</f>
        <v/>
      </c>
      <c r="K135" s="23">
        <f>IF(F135="","",IF(I135=0,"Pending",IF(I135&gt;=F135,"Completed","Partial")))</f>
        <v/>
      </c>
    </row>
    <row r="136">
      <c r="A136" s="26" t="n"/>
      <c r="B136" s="21" t="n"/>
      <c r="C136" s="21" t="n"/>
      <c r="D136" s="21" t="n"/>
      <c r="E136" s="21" t="n"/>
      <c r="F136" s="22" t="n"/>
      <c r="G136" s="23">
        <f>IFERROR(IF(E136="","",VLOOKUP(E136,'Setup - Mix Design'!$A$5:$I$304,9,0)),"")</f>
        <v/>
      </c>
      <c r="H136" s="23">
        <f>IF(OR(F136="",G136=""),"",F136*G136)</f>
        <v/>
      </c>
      <c r="I136" s="23">
        <f>IF(B136="","",SUMIF('Dispatch (Challan)'!$C$5:$C$304,B136,'Dispatch (Challan)'!$F$5:$F$304))</f>
        <v/>
      </c>
      <c r="J136" s="23">
        <f>IF(F136="","",F136-I136)</f>
        <v/>
      </c>
      <c r="K136" s="23">
        <f>IF(F136="","",IF(I136=0,"Pending",IF(I136&gt;=F136,"Completed","Partial")))</f>
        <v/>
      </c>
    </row>
    <row r="137">
      <c r="A137" s="26" t="n"/>
      <c r="B137" s="21" t="n"/>
      <c r="C137" s="21" t="n"/>
      <c r="D137" s="21" t="n"/>
      <c r="E137" s="21" t="n"/>
      <c r="F137" s="22" t="n"/>
      <c r="G137" s="23">
        <f>IFERROR(IF(E137="","",VLOOKUP(E137,'Setup - Mix Design'!$A$5:$I$304,9,0)),"")</f>
        <v/>
      </c>
      <c r="H137" s="23">
        <f>IF(OR(F137="",G137=""),"",F137*G137)</f>
        <v/>
      </c>
      <c r="I137" s="23">
        <f>IF(B137="","",SUMIF('Dispatch (Challan)'!$C$5:$C$304,B137,'Dispatch (Challan)'!$F$5:$F$304))</f>
        <v/>
      </c>
      <c r="J137" s="23">
        <f>IF(F137="","",F137-I137)</f>
        <v/>
      </c>
      <c r="K137" s="23">
        <f>IF(F137="","",IF(I137=0,"Pending",IF(I137&gt;=F137,"Completed","Partial")))</f>
        <v/>
      </c>
    </row>
    <row r="138">
      <c r="A138" s="26" t="n"/>
      <c r="B138" s="21" t="n"/>
      <c r="C138" s="21" t="n"/>
      <c r="D138" s="21" t="n"/>
      <c r="E138" s="21" t="n"/>
      <c r="F138" s="22" t="n"/>
      <c r="G138" s="23">
        <f>IFERROR(IF(E138="","",VLOOKUP(E138,'Setup - Mix Design'!$A$5:$I$304,9,0)),"")</f>
        <v/>
      </c>
      <c r="H138" s="23">
        <f>IF(OR(F138="",G138=""),"",F138*G138)</f>
        <v/>
      </c>
      <c r="I138" s="23">
        <f>IF(B138="","",SUMIF('Dispatch (Challan)'!$C$5:$C$304,B138,'Dispatch (Challan)'!$F$5:$F$304))</f>
        <v/>
      </c>
      <c r="J138" s="23">
        <f>IF(F138="","",F138-I138)</f>
        <v/>
      </c>
      <c r="K138" s="23">
        <f>IF(F138="","",IF(I138=0,"Pending",IF(I138&gt;=F138,"Completed","Partial")))</f>
        <v/>
      </c>
    </row>
    <row r="139">
      <c r="A139" s="26" t="n"/>
      <c r="B139" s="21" t="n"/>
      <c r="C139" s="21" t="n"/>
      <c r="D139" s="21" t="n"/>
      <c r="E139" s="21" t="n"/>
      <c r="F139" s="22" t="n"/>
      <c r="G139" s="23">
        <f>IFERROR(IF(E139="","",VLOOKUP(E139,'Setup - Mix Design'!$A$5:$I$304,9,0)),"")</f>
        <v/>
      </c>
      <c r="H139" s="23">
        <f>IF(OR(F139="",G139=""),"",F139*G139)</f>
        <v/>
      </c>
      <c r="I139" s="23">
        <f>IF(B139="","",SUMIF('Dispatch (Challan)'!$C$5:$C$304,B139,'Dispatch (Challan)'!$F$5:$F$304))</f>
        <v/>
      </c>
      <c r="J139" s="23">
        <f>IF(F139="","",F139-I139)</f>
        <v/>
      </c>
      <c r="K139" s="23">
        <f>IF(F139="","",IF(I139=0,"Pending",IF(I139&gt;=F139,"Completed","Partial")))</f>
        <v/>
      </c>
    </row>
    <row r="140">
      <c r="A140" s="26" t="n"/>
      <c r="B140" s="21" t="n"/>
      <c r="C140" s="21" t="n"/>
      <c r="D140" s="21" t="n"/>
      <c r="E140" s="21" t="n"/>
      <c r="F140" s="22" t="n"/>
      <c r="G140" s="23">
        <f>IFERROR(IF(E140="","",VLOOKUP(E140,'Setup - Mix Design'!$A$5:$I$304,9,0)),"")</f>
        <v/>
      </c>
      <c r="H140" s="23">
        <f>IF(OR(F140="",G140=""),"",F140*G140)</f>
        <v/>
      </c>
      <c r="I140" s="23">
        <f>IF(B140="","",SUMIF('Dispatch (Challan)'!$C$5:$C$304,B140,'Dispatch (Challan)'!$F$5:$F$304))</f>
        <v/>
      </c>
      <c r="J140" s="23">
        <f>IF(F140="","",F140-I140)</f>
        <v/>
      </c>
      <c r="K140" s="23">
        <f>IF(F140="","",IF(I140=0,"Pending",IF(I140&gt;=F140,"Completed","Partial")))</f>
        <v/>
      </c>
    </row>
    <row r="141">
      <c r="A141" s="26" t="n"/>
      <c r="B141" s="21" t="n"/>
      <c r="C141" s="21" t="n"/>
      <c r="D141" s="21" t="n"/>
      <c r="E141" s="21" t="n"/>
      <c r="F141" s="22" t="n"/>
      <c r="G141" s="23">
        <f>IFERROR(IF(E141="","",VLOOKUP(E141,'Setup - Mix Design'!$A$5:$I$304,9,0)),"")</f>
        <v/>
      </c>
      <c r="H141" s="23">
        <f>IF(OR(F141="",G141=""),"",F141*G141)</f>
        <v/>
      </c>
      <c r="I141" s="23">
        <f>IF(B141="","",SUMIF('Dispatch (Challan)'!$C$5:$C$304,B141,'Dispatch (Challan)'!$F$5:$F$304))</f>
        <v/>
      </c>
      <c r="J141" s="23">
        <f>IF(F141="","",F141-I141)</f>
        <v/>
      </c>
      <c r="K141" s="23">
        <f>IF(F141="","",IF(I141=0,"Pending",IF(I141&gt;=F141,"Completed","Partial")))</f>
        <v/>
      </c>
    </row>
    <row r="142">
      <c r="A142" s="26" t="n"/>
      <c r="B142" s="21" t="n"/>
      <c r="C142" s="21" t="n"/>
      <c r="D142" s="21" t="n"/>
      <c r="E142" s="21" t="n"/>
      <c r="F142" s="22" t="n"/>
      <c r="G142" s="23">
        <f>IFERROR(IF(E142="","",VLOOKUP(E142,'Setup - Mix Design'!$A$5:$I$304,9,0)),"")</f>
        <v/>
      </c>
      <c r="H142" s="23">
        <f>IF(OR(F142="",G142=""),"",F142*G142)</f>
        <v/>
      </c>
      <c r="I142" s="23">
        <f>IF(B142="","",SUMIF('Dispatch (Challan)'!$C$5:$C$304,B142,'Dispatch (Challan)'!$F$5:$F$304))</f>
        <v/>
      </c>
      <c r="J142" s="23">
        <f>IF(F142="","",F142-I142)</f>
        <v/>
      </c>
      <c r="K142" s="23">
        <f>IF(F142="","",IF(I142=0,"Pending",IF(I142&gt;=F142,"Completed","Partial")))</f>
        <v/>
      </c>
    </row>
    <row r="143">
      <c r="A143" s="26" t="n"/>
      <c r="B143" s="21" t="n"/>
      <c r="C143" s="21" t="n"/>
      <c r="D143" s="21" t="n"/>
      <c r="E143" s="21" t="n"/>
      <c r="F143" s="22" t="n"/>
      <c r="G143" s="23">
        <f>IFERROR(IF(E143="","",VLOOKUP(E143,'Setup - Mix Design'!$A$5:$I$304,9,0)),"")</f>
        <v/>
      </c>
      <c r="H143" s="23">
        <f>IF(OR(F143="",G143=""),"",F143*G143)</f>
        <v/>
      </c>
      <c r="I143" s="23">
        <f>IF(B143="","",SUMIF('Dispatch (Challan)'!$C$5:$C$304,B143,'Dispatch (Challan)'!$F$5:$F$304))</f>
        <v/>
      </c>
      <c r="J143" s="23">
        <f>IF(F143="","",F143-I143)</f>
        <v/>
      </c>
      <c r="K143" s="23">
        <f>IF(F143="","",IF(I143=0,"Pending",IF(I143&gt;=F143,"Completed","Partial")))</f>
        <v/>
      </c>
    </row>
    <row r="144">
      <c r="A144" s="26" t="n"/>
      <c r="B144" s="21" t="n"/>
      <c r="C144" s="21" t="n"/>
      <c r="D144" s="21" t="n"/>
      <c r="E144" s="21" t="n"/>
      <c r="F144" s="22" t="n"/>
      <c r="G144" s="23">
        <f>IFERROR(IF(E144="","",VLOOKUP(E144,'Setup - Mix Design'!$A$5:$I$304,9,0)),"")</f>
        <v/>
      </c>
      <c r="H144" s="23">
        <f>IF(OR(F144="",G144=""),"",F144*G144)</f>
        <v/>
      </c>
      <c r="I144" s="23">
        <f>IF(B144="","",SUMIF('Dispatch (Challan)'!$C$5:$C$304,B144,'Dispatch (Challan)'!$F$5:$F$304))</f>
        <v/>
      </c>
      <c r="J144" s="23">
        <f>IF(F144="","",F144-I144)</f>
        <v/>
      </c>
      <c r="K144" s="23">
        <f>IF(F144="","",IF(I144=0,"Pending",IF(I144&gt;=F144,"Completed","Partial")))</f>
        <v/>
      </c>
    </row>
    <row r="145">
      <c r="A145" s="26" t="n"/>
      <c r="B145" s="21" t="n"/>
      <c r="C145" s="21" t="n"/>
      <c r="D145" s="21" t="n"/>
      <c r="E145" s="21" t="n"/>
      <c r="F145" s="22" t="n"/>
      <c r="G145" s="23">
        <f>IFERROR(IF(E145="","",VLOOKUP(E145,'Setup - Mix Design'!$A$5:$I$304,9,0)),"")</f>
        <v/>
      </c>
      <c r="H145" s="23">
        <f>IF(OR(F145="",G145=""),"",F145*G145)</f>
        <v/>
      </c>
      <c r="I145" s="23">
        <f>IF(B145="","",SUMIF('Dispatch (Challan)'!$C$5:$C$304,B145,'Dispatch (Challan)'!$F$5:$F$304))</f>
        <v/>
      </c>
      <c r="J145" s="23">
        <f>IF(F145="","",F145-I145)</f>
        <v/>
      </c>
      <c r="K145" s="23">
        <f>IF(F145="","",IF(I145=0,"Pending",IF(I145&gt;=F145,"Completed","Partial")))</f>
        <v/>
      </c>
    </row>
    <row r="146">
      <c r="A146" s="26" t="n"/>
      <c r="B146" s="21" t="n"/>
      <c r="C146" s="21" t="n"/>
      <c r="D146" s="21" t="n"/>
      <c r="E146" s="21" t="n"/>
      <c r="F146" s="22" t="n"/>
      <c r="G146" s="23">
        <f>IFERROR(IF(E146="","",VLOOKUP(E146,'Setup - Mix Design'!$A$5:$I$304,9,0)),"")</f>
        <v/>
      </c>
      <c r="H146" s="23">
        <f>IF(OR(F146="",G146=""),"",F146*G146)</f>
        <v/>
      </c>
      <c r="I146" s="23">
        <f>IF(B146="","",SUMIF('Dispatch (Challan)'!$C$5:$C$304,B146,'Dispatch (Challan)'!$F$5:$F$304))</f>
        <v/>
      </c>
      <c r="J146" s="23">
        <f>IF(F146="","",F146-I146)</f>
        <v/>
      </c>
      <c r="K146" s="23">
        <f>IF(F146="","",IF(I146=0,"Pending",IF(I146&gt;=F146,"Completed","Partial")))</f>
        <v/>
      </c>
    </row>
    <row r="147">
      <c r="A147" s="26" t="n"/>
      <c r="B147" s="21" t="n"/>
      <c r="C147" s="21" t="n"/>
      <c r="D147" s="21" t="n"/>
      <c r="E147" s="21" t="n"/>
      <c r="F147" s="22" t="n"/>
      <c r="G147" s="23">
        <f>IFERROR(IF(E147="","",VLOOKUP(E147,'Setup - Mix Design'!$A$5:$I$304,9,0)),"")</f>
        <v/>
      </c>
      <c r="H147" s="23">
        <f>IF(OR(F147="",G147=""),"",F147*G147)</f>
        <v/>
      </c>
      <c r="I147" s="23">
        <f>IF(B147="","",SUMIF('Dispatch (Challan)'!$C$5:$C$304,B147,'Dispatch (Challan)'!$F$5:$F$304))</f>
        <v/>
      </c>
      <c r="J147" s="23">
        <f>IF(F147="","",F147-I147)</f>
        <v/>
      </c>
      <c r="K147" s="23">
        <f>IF(F147="","",IF(I147=0,"Pending",IF(I147&gt;=F147,"Completed","Partial")))</f>
        <v/>
      </c>
    </row>
    <row r="148">
      <c r="A148" s="26" t="n"/>
      <c r="B148" s="21" t="n"/>
      <c r="C148" s="21" t="n"/>
      <c r="D148" s="21" t="n"/>
      <c r="E148" s="21" t="n"/>
      <c r="F148" s="22" t="n"/>
      <c r="G148" s="23">
        <f>IFERROR(IF(E148="","",VLOOKUP(E148,'Setup - Mix Design'!$A$5:$I$304,9,0)),"")</f>
        <v/>
      </c>
      <c r="H148" s="23">
        <f>IF(OR(F148="",G148=""),"",F148*G148)</f>
        <v/>
      </c>
      <c r="I148" s="23">
        <f>IF(B148="","",SUMIF('Dispatch (Challan)'!$C$5:$C$304,B148,'Dispatch (Challan)'!$F$5:$F$304))</f>
        <v/>
      </c>
      <c r="J148" s="23">
        <f>IF(F148="","",F148-I148)</f>
        <v/>
      </c>
      <c r="K148" s="23">
        <f>IF(F148="","",IF(I148=0,"Pending",IF(I148&gt;=F148,"Completed","Partial")))</f>
        <v/>
      </c>
    </row>
    <row r="149">
      <c r="A149" s="26" t="n"/>
      <c r="B149" s="21" t="n"/>
      <c r="C149" s="21" t="n"/>
      <c r="D149" s="21" t="n"/>
      <c r="E149" s="21" t="n"/>
      <c r="F149" s="22" t="n"/>
      <c r="G149" s="23">
        <f>IFERROR(IF(E149="","",VLOOKUP(E149,'Setup - Mix Design'!$A$5:$I$304,9,0)),"")</f>
        <v/>
      </c>
      <c r="H149" s="23">
        <f>IF(OR(F149="",G149=""),"",F149*G149)</f>
        <v/>
      </c>
      <c r="I149" s="23">
        <f>IF(B149="","",SUMIF('Dispatch (Challan)'!$C$5:$C$304,B149,'Dispatch (Challan)'!$F$5:$F$304))</f>
        <v/>
      </c>
      <c r="J149" s="23">
        <f>IF(F149="","",F149-I149)</f>
        <v/>
      </c>
      <c r="K149" s="23">
        <f>IF(F149="","",IF(I149=0,"Pending",IF(I149&gt;=F149,"Completed","Partial")))</f>
        <v/>
      </c>
    </row>
    <row r="150">
      <c r="A150" s="26" t="n"/>
      <c r="B150" s="21" t="n"/>
      <c r="C150" s="21" t="n"/>
      <c r="D150" s="21" t="n"/>
      <c r="E150" s="21" t="n"/>
      <c r="F150" s="22" t="n"/>
      <c r="G150" s="23">
        <f>IFERROR(IF(E150="","",VLOOKUP(E150,'Setup - Mix Design'!$A$5:$I$304,9,0)),"")</f>
        <v/>
      </c>
      <c r="H150" s="23">
        <f>IF(OR(F150="",G150=""),"",F150*G150)</f>
        <v/>
      </c>
      <c r="I150" s="23">
        <f>IF(B150="","",SUMIF('Dispatch (Challan)'!$C$5:$C$304,B150,'Dispatch (Challan)'!$F$5:$F$304))</f>
        <v/>
      </c>
      <c r="J150" s="23">
        <f>IF(F150="","",F150-I150)</f>
        <v/>
      </c>
      <c r="K150" s="23">
        <f>IF(F150="","",IF(I150=0,"Pending",IF(I150&gt;=F150,"Completed","Partial")))</f>
        <v/>
      </c>
    </row>
    <row r="151">
      <c r="A151" s="26" t="n"/>
      <c r="B151" s="21" t="n"/>
      <c r="C151" s="21" t="n"/>
      <c r="D151" s="21" t="n"/>
      <c r="E151" s="21" t="n"/>
      <c r="F151" s="22" t="n"/>
      <c r="G151" s="23">
        <f>IFERROR(IF(E151="","",VLOOKUP(E151,'Setup - Mix Design'!$A$5:$I$304,9,0)),"")</f>
        <v/>
      </c>
      <c r="H151" s="23">
        <f>IF(OR(F151="",G151=""),"",F151*G151)</f>
        <v/>
      </c>
      <c r="I151" s="23">
        <f>IF(B151="","",SUMIF('Dispatch (Challan)'!$C$5:$C$304,B151,'Dispatch (Challan)'!$F$5:$F$304))</f>
        <v/>
      </c>
      <c r="J151" s="23">
        <f>IF(F151="","",F151-I151)</f>
        <v/>
      </c>
      <c r="K151" s="23">
        <f>IF(F151="","",IF(I151=0,"Pending",IF(I151&gt;=F151,"Completed","Partial")))</f>
        <v/>
      </c>
    </row>
    <row r="152">
      <c r="A152" s="26" t="n"/>
      <c r="B152" s="21" t="n"/>
      <c r="C152" s="21" t="n"/>
      <c r="D152" s="21" t="n"/>
      <c r="E152" s="21" t="n"/>
      <c r="F152" s="22" t="n"/>
      <c r="G152" s="23">
        <f>IFERROR(IF(E152="","",VLOOKUP(E152,'Setup - Mix Design'!$A$5:$I$304,9,0)),"")</f>
        <v/>
      </c>
      <c r="H152" s="23">
        <f>IF(OR(F152="",G152=""),"",F152*G152)</f>
        <v/>
      </c>
      <c r="I152" s="23">
        <f>IF(B152="","",SUMIF('Dispatch (Challan)'!$C$5:$C$304,B152,'Dispatch (Challan)'!$F$5:$F$304))</f>
        <v/>
      </c>
      <c r="J152" s="23">
        <f>IF(F152="","",F152-I152)</f>
        <v/>
      </c>
      <c r="K152" s="23">
        <f>IF(F152="","",IF(I152=0,"Pending",IF(I152&gt;=F152,"Completed","Partial")))</f>
        <v/>
      </c>
    </row>
    <row r="153">
      <c r="A153" s="26" t="n"/>
      <c r="B153" s="21" t="n"/>
      <c r="C153" s="21" t="n"/>
      <c r="D153" s="21" t="n"/>
      <c r="E153" s="21" t="n"/>
      <c r="F153" s="22" t="n"/>
      <c r="G153" s="23">
        <f>IFERROR(IF(E153="","",VLOOKUP(E153,'Setup - Mix Design'!$A$5:$I$304,9,0)),"")</f>
        <v/>
      </c>
      <c r="H153" s="23">
        <f>IF(OR(F153="",G153=""),"",F153*G153)</f>
        <v/>
      </c>
      <c r="I153" s="23">
        <f>IF(B153="","",SUMIF('Dispatch (Challan)'!$C$5:$C$304,B153,'Dispatch (Challan)'!$F$5:$F$304))</f>
        <v/>
      </c>
      <c r="J153" s="23">
        <f>IF(F153="","",F153-I153)</f>
        <v/>
      </c>
      <c r="K153" s="23">
        <f>IF(F153="","",IF(I153=0,"Pending",IF(I153&gt;=F153,"Completed","Partial")))</f>
        <v/>
      </c>
    </row>
    <row r="154">
      <c r="A154" s="26" t="n"/>
      <c r="B154" s="21" t="n"/>
      <c r="C154" s="21" t="n"/>
      <c r="D154" s="21" t="n"/>
      <c r="E154" s="21" t="n"/>
      <c r="F154" s="22" t="n"/>
      <c r="G154" s="23">
        <f>IFERROR(IF(E154="","",VLOOKUP(E154,'Setup - Mix Design'!$A$5:$I$304,9,0)),"")</f>
        <v/>
      </c>
      <c r="H154" s="23">
        <f>IF(OR(F154="",G154=""),"",F154*G154)</f>
        <v/>
      </c>
      <c r="I154" s="23">
        <f>IF(B154="","",SUMIF('Dispatch (Challan)'!$C$5:$C$304,B154,'Dispatch (Challan)'!$F$5:$F$304))</f>
        <v/>
      </c>
      <c r="J154" s="23">
        <f>IF(F154="","",F154-I154)</f>
        <v/>
      </c>
      <c r="K154" s="23">
        <f>IF(F154="","",IF(I154=0,"Pending",IF(I154&gt;=F154,"Completed","Partial")))</f>
        <v/>
      </c>
    </row>
    <row r="155">
      <c r="A155" s="26" t="n"/>
      <c r="B155" s="21" t="n"/>
      <c r="C155" s="21" t="n"/>
      <c r="D155" s="21" t="n"/>
      <c r="E155" s="21" t="n"/>
      <c r="F155" s="22" t="n"/>
      <c r="G155" s="23">
        <f>IFERROR(IF(E155="","",VLOOKUP(E155,'Setup - Mix Design'!$A$5:$I$304,9,0)),"")</f>
        <v/>
      </c>
      <c r="H155" s="23">
        <f>IF(OR(F155="",G155=""),"",F155*G155)</f>
        <v/>
      </c>
      <c r="I155" s="23">
        <f>IF(B155="","",SUMIF('Dispatch (Challan)'!$C$5:$C$304,B155,'Dispatch (Challan)'!$F$5:$F$304))</f>
        <v/>
      </c>
      <c r="J155" s="23">
        <f>IF(F155="","",F155-I155)</f>
        <v/>
      </c>
      <c r="K155" s="23">
        <f>IF(F155="","",IF(I155=0,"Pending",IF(I155&gt;=F155,"Completed","Partial")))</f>
        <v/>
      </c>
    </row>
    <row r="156">
      <c r="A156" s="26" t="n"/>
      <c r="B156" s="21" t="n"/>
      <c r="C156" s="21" t="n"/>
      <c r="D156" s="21" t="n"/>
      <c r="E156" s="21" t="n"/>
      <c r="F156" s="22" t="n"/>
      <c r="G156" s="23">
        <f>IFERROR(IF(E156="","",VLOOKUP(E156,'Setup - Mix Design'!$A$5:$I$304,9,0)),"")</f>
        <v/>
      </c>
      <c r="H156" s="23">
        <f>IF(OR(F156="",G156=""),"",F156*G156)</f>
        <v/>
      </c>
      <c r="I156" s="23">
        <f>IF(B156="","",SUMIF('Dispatch (Challan)'!$C$5:$C$304,B156,'Dispatch (Challan)'!$F$5:$F$304))</f>
        <v/>
      </c>
      <c r="J156" s="23">
        <f>IF(F156="","",F156-I156)</f>
        <v/>
      </c>
      <c r="K156" s="23">
        <f>IF(F156="","",IF(I156=0,"Pending",IF(I156&gt;=F156,"Completed","Partial")))</f>
        <v/>
      </c>
    </row>
    <row r="157">
      <c r="A157" s="26" t="n"/>
      <c r="B157" s="21" t="n"/>
      <c r="C157" s="21" t="n"/>
      <c r="D157" s="21" t="n"/>
      <c r="E157" s="21" t="n"/>
      <c r="F157" s="22" t="n"/>
      <c r="G157" s="23">
        <f>IFERROR(IF(E157="","",VLOOKUP(E157,'Setup - Mix Design'!$A$5:$I$304,9,0)),"")</f>
        <v/>
      </c>
      <c r="H157" s="23">
        <f>IF(OR(F157="",G157=""),"",F157*G157)</f>
        <v/>
      </c>
      <c r="I157" s="23">
        <f>IF(B157="","",SUMIF('Dispatch (Challan)'!$C$5:$C$304,B157,'Dispatch (Challan)'!$F$5:$F$304))</f>
        <v/>
      </c>
      <c r="J157" s="23">
        <f>IF(F157="","",F157-I157)</f>
        <v/>
      </c>
      <c r="K157" s="23">
        <f>IF(F157="","",IF(I157=0,"Pending",IF(I157&gt;=F157,"Completed","Partial")))</f>
        <v/>
      </c>
    </row>
    <row r="158">
      <c r="A158" s="26" t="n"/>
      <c r="B158" s="21" t="n"/>
      <c r="C158" s="21" t="n"/>
      <c r="D158" s="21" t="n"/>
      <c r="E158" s="21" t="n"/>
      <c r="F158" s="22" t="n"/>
      <c r="G158" s="23">
        <f>IFERROR(IF(E158="","",VLOOKUP(E158,'Setup - Mix Design'!$A$5:$I$304,9,0)),"")</f>
        <v/>
      </c>
      <c r="H158" s="23">
        <f>IF(OR(F158="",G158=""),"",F158*G158)</f>
        <v/>
      </c>
      <c r="I158" s="23">
        <f>IF(B158="","",SUMIF('Dispatch (Challan)'!$C$5:$C$304,B158,'Dispatch (Challan)'!$F$5:$F$304))</f>
        <v/>
      </c>
      <c r="J158" s="23">
        <f>IF(F158="","",F158-I158)</f>
        <v/>
      </c>
      <c r="K158" s="23">
        <f>IF(F158="","",IF(I158=0,"Pending",IF(I158&gt;=F158,"Completed","Partial")))</f>
        <v/>
      </c>
    </row>
    <row r="159">
      <c r="A159" s="26" t="n"/>
      <c r="B159" s="21" t="n"/>
      <c r="C159" s="21" t="n"/>
      <c r="D159" s="21" t="n"/>
      <c r="E159" s="21" t="n"/>
      <c r="F159" s="22" t="n"/>
      <c r="G159" s="23">
        <f>IFERROR(IF(E159="","",VLOOKUP(E159,'Setup - Mix Design'!$A$5:$I$304,9,0)),"")</f>
        <v/>
      </c>
      <c r="H159" s="23">
        <f>IF(OR(F159="",G159=""),"",F159*G159)</f>
        <v/>
      </c>
      <c r="I159" s="23">
        <f>IF(B159="","",SUMIF('Dispatch (Challan)'!$C$5:$C$304,B159,'Dispatch (Challan)'!$F$5:$F$304))</f>
        <v/>
      </c>
      <c r="J159" s="23">
        <f>IF(F159="","",F159-I159)</f>
        <v/>
      </c>
      <c r="K159" s="23">
        <f>IF(F159="","",IF(I159=0,"Pending",IF(I159&gt;=F159,"Completed","Partial")))</f>
        <v/>
      </c>
    </row>
    <row r="160">
      <c r="A160" s="26" t="n"/>
      <c r="B160" s="21" t="n"/>
      <c r="C160" s="21" t="n"/>
      <c r="D160" s="21" t="n"/>
      <c r="E160" s="21" t="n"/>
      <c r="F160" s="22" t="n"/>
      <c r="G160" s="23">
        <f>IFERROR(IF(E160="","",VLOOKUP(E160,'Setup - Mix Design'!$A$5:$I$304,9,0)),"")</f>
        <v/>
      </c>
      <c r="H160" s="23">
        <f>IF(OR(F160="",G160=""),"",F160*G160)</f>
        <v/>
      </c>
      <c r="I160" s="23">
        <f>IF(B160="","",SUMIF('Dispatch (Challan)'!$C$5:$C$304,B160,'Dispatch (Challan)'!$F$5:$F$304))</f>
        <v/>
      </c>
      <c r="J160" s="23">
        <f>IF(F160="","",F160-I160)</f>
        <v/>
      </c>
      <c r="K160" s="23">
        <f>IF(F160="","",IF(I160=0,"Pending",IF(I160&gt;=F160,"Completed","Partial")))</f>
        <v/>
      </c>
    </row>
    <row r="161">
      <c r="A161" s="26" t="n"/>
      <c r="B161" s="21" t="n"/>
      <c r="C161" s="21" t="n"/>
      <c r="D161" s="21" t="n"/>
      <c r="E161" s="21" t="n"/>
      <c r="F161" s="22" t="n"/>
      <c r="G161" s="23">
        <f>IFERROR(IF(E161="","",VLOOKUP(E161,'Setup - Mix Design'!$A$5:$I$304,9,0)),"")</f>
        <v/>
      </c>
      <c r="H161" s="23">
        <f>IF(OR(F161="",G161=""),"",F161*G161)</f>
        <v/>
      </c>
      <c r="I161" s="23">
        <f>IF(B161="","",SUMIF('Dispatch (Challan)'!$C$5:$C$304,B161,'Dispatch (Challan)'!$F$5:$F$304))</f>
        <v/>
      </c>
      <c r="J161" s="23">
        <f>IF(F161="","",F161-I161)</f>
        <v/>
      </c>
      <c r="K161" s="23">
        <f>IF(F161="","",IF(I161=0,"Pending",IF(I161&gt;=F161,"Completed","Partial")))</f>
        <v/>
      </c>
    </row>
    <row r="162">
      <c r="A162" s="26" t="n"/>
      <c r="B162" s="21" t="n"/>
      <c r="C162" s="21" t="n"/>
      <c r="D162" s="21" t="n"/>
      <c r="E162" s="21" t="n"/>
      <c r="F162" s="22" t="n"/>
      <c r="G162" s="23">
        <f>IFERROR(IF(E162="","",VLOOKUP(E162,'Setup - Mix Design'!$A$5:$I$304,9,0)),"")</f>
        <v/>
      </c>
      <c r="H162" s="23">
        <f>IF(OR(F162="",G162=""),"",F162*G162)</f>
        <v/>
      </c>
      <c r="I162" s="23">
        <f>IF(B162="","",SUMIF('Dispatch (Challan)'!$C$5:$C$304,B162,'Dispatch (Challan)'!$F$5:$F$304))</f>
        <v/>
      </c>
      <c r="J162" s="23">
        <f>IF(F162="","",F162-I162)</f>
        <v/>
      </c>
      <c r="K162" s="23">
        <f>IF(F162="","",IF(I162=0,"Pending",IF(I162&gt;=F162,"Completed","Partial")))</f>
        <v/>
      </c>
    </row>
    <row r="163">
      <c r="A163" s="26" t="n"/>
      <c r="B163" s="21" t="n"/>
      <c r="C163" s="21" t="n"/>
      <c r="D163" s="21" t="n"/>
      <c r="E163" s="21" t="n"/>
      <c r="F163" s="22" t="n"/>
      <c r="G163" s="23">
        <f>IFERROR(IF(E163="","",VLOOKUP(E163,'Setup - Mix Design'!$A$5:$I$304,9,0)),"")</f>
        <v/>
      </c>
      <c r="H163" s="23">
        <f>IF(OR(F163="",G163=""),"",F163*G163)</f>
        <v/>
      </c>
      <c r="I163" s="23">
        <f>IF(B163="","",SUMIF('Dispatch (Challan)'!$C$5:$C$304,B163,'Dispatch (Challan)'!$F$5:$F$304))</f>
        <v/>
      </c>
      <c r="J163" s="23">
        <f>IF(F163="","",F163-I163)</f>
        <v/>
      </c>
      <c r="K163" s="23">
        <f>IF(F163="","",IF(I163=0,"Pending",IF(I163&gt;=F163,"Completed","Partial")))</f>
        <v/>
      </c>
    </row>
    <row r="164">
      <c r="A164" s="26" t="n"/>
      <c r="B164" s="21" t="n"/>
      <c r="C164" s="21" t="n"/>
      <c r="D164" s="21" t="n"/>
      <c r="E164" s="21" t="n"/>
      <c r="F164" s="22" t="n"/>
      <c r="G164" s="23">
        <f>IFERROR(IF(E164="","",VLOOKUP(E164,'Setup - Mix Design'!$A$5:$I$304,9,0)),"")</f>
        <v/>
      </c>
      <c r="H164" s="23">
        <f>IF(OR(F164="",G164=""),"",F164*G164)</f>
        <v/>
      </c>
      <c r="I164" s="23">
        <f>IF(B164="","",SUMIF('Dispatch (Challan)'!$C$5:$C$304,B164,'Dispatch (Challan)'!$F$5:$F$304))</f>
        <v/>
      </c>
      <c r="J164" s="23">
        <f>IF(F164="","",F164-I164)</f>
        <v/>
      </c>
      <c r="K164" s="23">
        <f>IF(F164="","",IF(I164=0,"Pending",IF(I164&gt;=F164,"Completed","Partial")))</f>
        <v/>
      </c>
    </row>
    <row r="165">
      <c r="A165" s="26" t="n"/>
      <c r="B165" s="21" t="n"/>
      <c r="C165" s="21" t="n"/>
      <c r="D165" s="21" t="n"/>
      <c r="E165" s="21" t="n"/>
      <c r="F165" s="22" t="n"/>
      <c r="G165" s="23">
        <f>IFERROR(IF(E165="","",VLOOKUP(E165,'Setup - Mix Design'!$A$5:$I$304,9,0)),"")</f>
        <v/>
      </c>
      <c r="H165" s="23">
        <f>IF(OR(F165="",G165=""),"",F165*G165)</f>
        <v/>
      </c>
      <c r="I165" s="23">
        <f>IF(B165="","",SUMIF('Dispatch (Challan)'!$C$5:$C$304,B165,'Dispatch (Challan)'!$F$5:$F$304))</f>
        <v/>
      </c>
      <c r="J165" s="23">
        <f>IF(F165="","",F165-I165)</f>
        <v/>
      </c>
      <c r="K165" s="23">
        <f>IF(F165="","",IF(I165=0,"Pending",IF(I165&gt;=F165,"Completed","Partial")))</f>
        <v/>
      </c>
    </row>
    <row r="166">
      <c r="A166" s="26" t="n"/>
      <c r="B166" s="21" t="n"/>
      <c r="C166" s="21" t="n"/>
      <c r="D166" s="21" t="n"/>
      <c r="E166" s="21" t="n"/>
      <c r="F166" s="22" t="n"/>
      <c r="G166" s="23">
        <f>IFERROR(IF(E166="","",VLOOKUP(E166,'Setup - Mix Design'!$A$5:$I$304,9,0)),"")</f>
        <v/>
      </c>
      <c r="H166" s="23">
        <f>IF(OR(F166="",G166=""),"",F166*G166)</f>
        <v/>
      </c>
      <c r="I166" s="23">
        <f>IF(B166="","",SUMIF('Dispatch (Challan)'!$C$5:$C$304,B166,'Dispatch (Challan)'!$F$5:$F$304))</f>
        <v/>
      </c>
      <c r="J166" s="23">
        <f>IF(F166="","",F166-I166)</f>
        <v/>
      </c>
      <c r="K166" s="23">
        <f>IF(F166="","",IF(I166=0,"Pending",IF(I166&gt;=F166,"Completed","Partial")))</f>
        <v/>
      </c>
    </row>
    <row r="167">
      <c r="A167" s="26" t="n"/>
      <c r="B167" s="21" t="n"/>
      <c r="C167" s="21" t="n"/>
      <c r="D167" s="21" t="n"/>
      <c r="E167" s="21" t="n"/>
      <c r="F167" s="22" t="n"/>
      <c r="G167" s="23">
        <f>IFERROR(IF(E167="","",VLOOKUP(E167,'Setup - Mix Design'!$A$5:$I$304,9,0)),"")</f>
        <v/>
      </c>
      <c r="H167" s="23">
        <f>IF(OR(F167="",G167=""),"",F167*G167)</f>
        <v/>
      </c>
      <c r="I167" s="23">
        <f>IF(B167="","",SUMIF('Dispatch (Challan)'!$C$5:$C$304,B167,'Dispatch (Challan)'!$F$5:$F$304))</f>
        <v/>
      </c>
      <c r="J167" s="23">
        <f>IF(F167="","",F167-I167)</f>
        <v/>
      </c>
      <c r="K167" s="23">
        <f>IF(F167="","",IF(I167=0,"Pending",IF(I167&gt;=F167,"Completed","Partial")))</f>
        <v/>
      </c>
    </row>
    <row r="168">
      <c r="A168" s="26" t="n"/>
      <c r="B168" s="21" t="n"/>
      <c r="C168" s="21" t="n"/>
      <c r="D168" s="21" t="n"/>
      <c r="E168" s="21" t="n"/>
      <c r="F168" s="22" t="n"/>
      <c r="G168" s="23">
        <f>IFERROR(IF(E168="","",VLOOKUP(E168,'Setup - Mix Design'!$A$5:$I$304,9,0)),"")</f>
        <v/>
      </c>
      <c r="H168" s="23">
        <f>IF(OR(F168="",G168=""),"",F168*G168)</f>
        <v/>
      </c>
      <c r="I168" s="23">
        <f>IF(B168="","",SUMIF('Dispatch (Challan)'!$C$5:$C$304,B168,'Dispatch (Challan)'!$F$5:$F$304))</f>
        <v/>
      </c>
      <c r="J168" s="23">
        <f>IF(F168="","",F168-I168)</f>
        <v/>
      </c>
      <c r="K168" s="23">
        <f>IF(F168="","",IF(I168=0,"Pending",IF(I168&gt;=F168,"Completed","Partial")))</f>
        <v/>
      </c>
    </row>
    <row r="169">
      <c r="A169" s="26" t="n"/>
      <c r="B169" s="21" t="n"/>
      <c r="C169" s="21" t="n"/>
      <c r="D169" s="21" t="n"/>
      <c r="E169" s="21" t="n"/>
      <c r="F169" s="22" t="n"/>
      <c r="G169" s="23">
        <f>IFERROR(IF(E169="","",VLOOKUP(E169,'Setup - Mix Design'!$A$5:$I$304,9,0)),"")</f>
        <v/>
      </c>
      <c r="H169" s="23">
        <f>IF(OR(F169="",G169=""),"",F169*G169)</f>
        <v/>
      </c>
      <c r="I169" s="23">
        <f>IF(B169="","",SUMIF('Dispatch (Challan)'!$C$5:$C$304,B169,'Dispatch (Challan)'!$F$5:$F$304))</f>
        <v/>
      </c>
      <c r="J169" s="23">
        <f>IF(F169="","",F169-I169)</f>
        <v/>
      </c>
      <c r="K169" s="23">
        <f>IF(F169="","",IF(I169=0,"Pending",IF(I169&gt;=F169,"Completed","Partial")))</f>
        <v/>
      </c>
    </row>
    <row r="170">
      <c r="A170" s="26" t="n"/>
      <c r="B170" s="21" t="n"/>
      <c r="C170" s="21" t="n"/>
      <c r="D170" s="21" t="n"/>
      <c r="E170" s="21" t="n"/>
      <c r="F170" s="22" t="n"/>
      <c r="G170" s="23">
        <f>IFERROR(IF(E170="","",VLOOKUP(E170,'Setup - Mix Design'!$A$5:$I$304,9,0)),"")</f>
        <v/>
      </c>
      <c r="H170" s="23">
        <f>IF(OR(F170="",G170=""),"",F170*G170)</f>
        <v/>
      </c>
      <c r="I170" s="23">
        <f>IF(B170="","",SUMIF('Dispatch (Challan)'!$C$5:$C$304,B170,'Dispatch (Challan)'!$F$5:$F$304))</f>
        <v/>
      </c>
      <c r="J170" s="23">
        <f>IF(F170="","",F170-I170)</f>
        <v/>
      </c>
      <c r="K170" s="23">
        <f>IF(F170="","",IF(I170=0,"Pending",IF(I170&gt;=F170,"Completed","Partial")))</f>
        <v/>
      </c>
    </row>
    <row r="171">
      <c r="A171" s="26" t="n"/>
      <c r="B171" s="21" t="n"/>
      <c r="C171" s="21" t="n"/>
      <c r="D171" s="21" t="n"/>
      <c r="E171" s="21" t="n"/>
      <c r="F171" s="22" t="n"/>
      <c r="G171" s="23">
        <f>IFERROR(IF(E171="","",VLOOKUP(E171,'Setup - Mix Design'!$A$5:$I$304,9,0)),"")</f>
        <v/>
      </c>
      <c r="H171" s="23">
        <f>IF(OR(F171="",G171=""),"",F171*G171)</f>
        <v/>
      </c>
      <c r="I171" s="23">
        <f>IF(B171="","",SUMIF('Dispatch (Challan)'!$C$5:$C$304,B171,'Dispatch (Challan)'!$F$5:$F$304))</f>
        <v/>
      </c>
      <c r="J171" s="23">
        <f>IF(F171="","",F171-I171)</f>
        <v/>
      </c>
      <c r="K171" s="23">
        <f>IF(F171="","",IF(I171=0,"Pending",IF(I171&gt;=F171,"Completed","Partial")))</f>
        <v/>
      </c>
    </row>
    <row r="172">
      <c r="A172" s="26" t="n"/>
      <c r="B172" s="21" t="n"/>
      <c r="C172" s="21" t="n"/>
      <c r="D172" s="21" t="n"/>
      <c r="E172" s="21" t="n"/>
      <c r="F172" s="22" t="n"/>
      <c r="G172" s="23">
        <f>IFERROR(IF(E172="","",VLOOKUP(E172,'Setup - Mix Design'!$A$5:$I$304,9,0)),"")</f>
        <v/>
      </c>
      <c r="H172" s="23">
        <f>IF(OR(F172="",G172=""),"",F172*G172)</f>
        <v/>
      </c>
      <c r="I172" s="23">
        <f>IF(B172="","",SUMIF('Dispatch (Challan)'!$C$5:$C$304,B172,'Dispatch (Challan)'!$F$5:$F$304))</f>
        <v/>
      </c>
      <c r="J172" s="23">
        <f>IF(F172="","",F172-I172)</f>
        <v/>
      </c>
      <c r="K172" s="23">
        <f>IF(F172="","",IF(I172=0,"Pending",IF(I172&gt;=F172,"Completed","Partial")))</f>
        <v/>
      </c>
    </row>
    <row r="173">
      <c r="A173" s="26" t="n"/>
      <c r="B173" s="21" t="n"/>
      <c r="C173" s="21" t="n"/>
      <c r="D173" s="21" t="n"/>
      <c r="E173" s="21" t="n"/>
      <c r="F173" s="22" t="n"/>
      <c r="G173" s="23">
        <f>IFERROR(IF(E173="","",VLOOKUP(E173,'Setup - Mix Design'!$A$5:$I$304,9,0)),"")</f>
        <v/>
      </c>
      <c r="H173" s="23">
        <f>IF(OR(F173="",G173=""),"",F173*G173)</f>
        <v/>
      </c>
      <c r="I173" s="23">
        <f>IF(B173="","",SUMIF('Dispatch (Challan)'!$C$5:$C$304,B173,'Dispatch (Challan)'!$F$5:$F$304))</f>
        <v/>
      </c>
      <c r="J173" s="23">
        <f>IF(F173="","",F173-I173)</f>
        <v/>
      </c>
      <c r="K173" s="23">
        <f>IF(F173="","",IF(I173=0,"Pending",IF(I173&gt;=F173,"Completed","Partial")))</f>
        <v/>
      </c>
    </row>
    <row r="174">
      <c r="A174" s="26" t="n"/>
      <c r="B174" s="21" t="n"/>
      <c r="C174" s="21" t="n"/>
      <c r="D174" s="21" t="n"/>
      <c r="E174" s="21" t="n"/>
      <c r="F174" s="22" t="n"/>
      <c r="G174" s="23">
        <f>IFERROR(IF(E174="","",VLOOKUP(E174,'Setup - Mix Design'!$A$5:$I$304,9,0)),"")</f>
        <v/>
      </c>
      <c r="H174" s="23">
        <f>IF(OR(F174="",G174=""),"",F174*G174)</f>
        <v/>
      </c>
      <c r="I174" s="23">
        <f>IF(B174="","",SUMIF('Dispatch (Challan)'!$C$5:$C$304,B174,'Dispatch (Challan)'!$F$5:$F$304))</f>
        <v/>
      </c>
      <c r="J174" s="23">
        <f>IF(F174="","",F174-I174)</f>
        <v/>
      </c>
      <c r="K174" s="23">
        <f>IF(F174="","",IF(I174=0,"Pending",IF(I174&gt;=F174,"Completed","Partial")))</f>
        <v/>
      </c>
    </row>
    <row r="175">
      <c r="A175" s="26" t="n"/>
      <c r="B175" s="21" t="n"/>
      <c r="C175" s="21" t="n"/>
      <c r="D175" s="21" t="n"/>
      <c r="E175" s="21" t="n"/>
      <c r="F175" s="22" t="n"/>
      <c r="G175" s="23">
        <f>IFERROR(IF(E175="","",VLOOKUP(E175,'Setup - Mix Design'!$A$5:$I$304,9,0)),"")</f>
        <v/>
      </c>
      <c r="H175" s="23">
        <f>IF(OR(F175="",G175=""),"",F175*G175)</f>
        <v/>
      </c>
      <c r="I175" s="23">
        <f>IF(B175="","",SUMIF('Dispatch (Challan)'!$C$5:$C$304,B175,'Dispatch (Challan)'!$F$5:$F$304))</f>
        <v/>
      </c>
      <c r="J175" s="23">
        <f>IF(F175="","",F175-I175)</f>
        <v/>
      </c>
      <c r="K175" s="23">
        <f>IF(F175="","",IF(I175=0,"Pending",IF(I175&gt;=F175,"Completed","Partial")))</f>
        <v/>
      </c>
    </row>
    <row r="176">
      <c r="A176" s="26" t="n"/>
      <c r="B176" s="21" t="n"/>
      <c r="C176" s="21" t="n"/>
      <c r="D176" s="21" t="n"/>
      <c r="E176" s="21" t="n"/>
      <c r="F176" s="22" t="n"/>
      <c r="G176" s="23">
        <f>IFERROR(IF(E176="","",VLOOKUP(E176,'Setup - Mix Design'!$A$5:$I$304,9,0)),"")</f>
        <v/>
      </c>
      <c r="H176" s="23">
        <f>IF(OR(F176="",G176=""),"",F176*G176)</f>
        <v/>
      </c>
      <c r="I176" s="23">
        <f>IF(B176="","",SUMIF('Dispatch (Challan)'!$C$5:$C$304,B176,'Dispatch (Challan)'!$F$5:$F$304))</f>
        <v/>
      </c>
      <c r="J176" s="23">
        <f>IF(F176="","",F176-I176)</f>
        <v/>
      </c>
      <c r="K176" s="23">
        <f>IF(F176="","",IF(I176=0,"Pending",IF(I176&gt;=F176,"Completed","Partial")))</f>
        <v/>
      </c>
    </row>
    <row r="177">
      <c r="A177" s="26" t="n"/>
      <c r="B177" s="21" t="n"/>
      <c r="C177" s="21" t="n"/>
      <c r="D177" s="21" t="n"/>
      <c r="E177" s="21" t="n"/>
      <c r="F177" s="22" t="n"/>
      <c r="G177" s="23">
        <f>IFERROR(IF(E177="","",VLOOKUP(E177,'Setup - Mix Design'!$A$5:$I$304,9,0)),"")</f>
        <v/>
      </c>
      <c r="H177" s="23">
        <f>IF(OR(F177="",G177=""),"",F177*G177)</f>
        <v/>
      </c>
      <c r="I177" s="23">
        <f>IF(B177="","",SUMIF('Dispatch (Challan)'!$C$5:$C$304,B177,'Dispatch (Challan)'!$F$5:$F$304))</f>
        <v/>
      </c>
      <c r="J177" s="23">
        <f>IF(F177="","",F177-I177)</f>
        <v/>
      </c>
      <c r="K177" s="23">
        <f>IF(F177="","",IF(I177=0,"Pending",IF(I177&gt;=F177,"Completed","Partial")))</f>
        <v/>
      </c>
    </row>
    <row r="178">
      <c r="A178" s="26" t="n"/>
      <c r="B178" s="21" t="n"/>
      <c r="C178" s="21" t="n"/>
      <c r="D178" s="21" t="n"/>
      <c r="E178" s="21" t="n"/>
      <c r="F178" s="22" t="n"/>
      <c r="G178" s="23">
        <f>IFERROR(IF(E178="","",VLOOKUP(E178,'Setup - Mix Design'!$A$5:$I$304,9,0)),"")</f>
        <v/>
      </c>
      <c r="H178" s="23">
        <f>IF(OR(F178="",G178=""),"",F178*G178)</f>
        <v/>
      </c>
      <c r="I178" s="23">
        <f>IF(B178="","",SUMIF('Dispatch (Challan)'!$C$5:$C$304,B178,'Dispatch (Challan)'!$F$5:$F$304))</f>
        <v/>
      </c>
      <c r="J178" s="23">
        <f>IF(F178="","",F178-I178)</f>
        <v/>
      </c>
      <c r="K178" s="23">
        <f>IF(F178="","",IF(I178=0,"Pending",IF(I178&gt;=F178,"Completed","Partial")))</f>
        <v/>
      </c>
    </row>
    <row r="179">
      <c r="A179" s="26" t="n"/>
      <c r="B179" s="21" t="n"/>
      <c r="C179" s="21" t="n"/>
      <c r="D179" s="21" t="n"/>
      <c r="E179" s="21" t="n"/>
      <c r="F179" s="22" t="n"/>
      <c r="G179" s="23">
        <f>IFERROR(IF(E179="","",VLOOKUP(E179,'Setup - Mix Design'!$A$5:$I$304,9,0)),"")</f>
        <v/>
      </c>
      <c r="H179" s="23">
        <f>IF(OR(F179="",G179=""),"",F179*G179)</f>
        <v/>
      </c>
      <c r="I179" s="23">
        <f>IF(B179="","",SUMIF('Dispatch (Challan)'!$C$5:$C$304,B179,'Dispatch (Challan)'!$F$5:$F$304))</f>
        <v/>
      </c>
      <c r="J179" s="23">
        <f>IF(F179="","",F179-I179)</f>
        <v/>
      </c>
      <c r="K179" s="23">
        <f>IF(F179="","",IF(I179=0,"Pending",IF(I179&gt;=F179,"Completed","Partial")))</f>
        <v/>
      </c>
    </row>
    <row r="180">
      <c r="A180" s="26" t="n"/>
      <c r="B180" s="21" t="n"/>
      <c r="C180" s="21" t="n"/>
      <c r="D180" s="21" t="n"/>
      <c r="E180" s="21" t="n"/>
      <c r="F180" s="22" t="n"/>
      <c r="G180" s="23">
        <f>IFERROR(IF(E180="","",VLOOKUP(E180,'Setup - Mix Design'!$A$5:$I$304,9,0)),"")</f>
        <v/>
      </c>
      <c r="H180" s="23">
        <f>IF(OR(F180="",G180=""),"",F180*G180)</f>
        <v/>
      </c>
      <c r="I180" s="23">
        <f>IF(B180="","",SUMIF('Dispatch (Challan)'!$C$5:$C$304,B180,'Dispatch (Challan)'!$F$5:$F$304))</f>
        <v/>
      </c>
      <c r="J180" s="23">
        <f>IF(F180="","",F180-I180)</f>
        <v/>
      </c>
      <c r="K180" s="23">
        <f>IF(F180="","",IF(I180=0,"Pending",IF(I180&gt;=F180,"Completed","Partial")))</f>
        <v/>
      </c>
    </row>
    <row r="181">
      <c r="A181" s="26" t="n"/>
      <c r="B181" s="21" t="n"/>
      <c r="C181" s="21" t="n"/>
      <c r="D181" s="21" t="n"/>
      <c r="E181" s="21" t="n"/>
      <c r="F181" s="22" t="n"/>
      <c r="G181" s="23">
        <f>IFERROR(IF(E181="","",VLOOKUP(E181,'Setup - Mix Design'!$A$5:$I$304,9,0)),"")</f>
        <v/>
      </c>
      <c r="H181" s="23">
        <f>IF(OR(F181="",G181=""),"",F181*G181)</f>
        <v/>
      </c>
      <c r="I181" s="23">
        <f>IF(B181="","",SUMIF('Dispatch (Challan)'!$C$5:$C$304,B181,'Dispatch (Challan)'!$F$5:$F$304))</f>
        <v/>
      </c>
      <c r="J181" s="23">
        <f>IF(F181="","",F181-I181)</f>
        <v/>
      </c>
      <c r="K181" s="23">
        <f>IF(F181="","",IF(I181=0,"Pending",IF(I181&gt;=F181,"Completed","Partial")))</f>
        <v/>
      </c>
    </row>
    <row r="182">
      <c r="A182" s="26" t="n"/>
      <c r="B182" s="21" t="n"/>
      <c r="C182" s="21" t="n"/>
      <c r="D182" s="21" t="n"/>
      <c r="E182" s="21" t="n"/>
      <c r="F182" s="22" t="n"/>
      <c r="G182" s="23">
        <f>IFERROR(IF(E182="","",VLOOKUP(E182,'Setup - Mix Design'!$A$5:$I$304,9,0)),"")</f>
        <v/>
      </c>
      <c r="H182" s="23">
        <f>IF(OR(F182="",G182=""),"",F182*G182)</f>
        <v/>
      </c>
      <c r="I182" s="23">
        <f>IF(B182="","",SUMIF('Dispatch (Challan)'!$C$5:$C$304,B182,'Dispatch (Challan)'!$F$5:$F$304))</f>
        <v/>
      </c>
      <c r="J182" s="23">
        <f>IF(F182="","",F182-I182)</f>
        <v/>
      </c>
      <c r="K182" s="23">
        <f>IF(F182="","",IF(I182=0,"Pending",IF(I182&gt;=F182,"Completed","Partial")))</f>
        <v/>
      </c>
    </row>
    <row r="183">
      <c r="A183" s="26" t="n"/>
      <c r="B183" s="21" t="n"/>
      <c r="C183" s="21" t="n"/>
      <c r="D183" s="21" t="n"/>
      <c r="E183" s="21" t="n"/>
      <c r="F183" s="22" t="n"/>
      <c r="G183" s="23">
        <f>IFERROR(IF(E183="","",VLOOKUP(E183,'Setup - Mix Design'!$A$5:$I$304,9,0)),"")</f>
        <v/>
      </c>
      <c r="H183" s="23">
        <f>IF(OR(F183="",G183=""),"",F183*G183)</f>
        <v/>
      </c>
      <c r="I183" s="23">
        <f>IF(B183="","",SUMIF('Dispatch (Challan)'!$C$5:$C$304,B183,'Dispatch (Challan)'!$F$5:$F$304))</f>
        <v/>
      </c>
      <c r="J183" s="23">
        <f>IF(F183="","",F183-I183)</f>
        <v/>
      </c>
      <c r="K183" s="23">
        <f>IF(F183="","",IF(I183=0,"Pending",IF(I183&gt;=F183,"Completed","Partial")))</f>
        <v/>
      </c>
    </row>
    <row r="184">
      <c r="A184" s="26" t="n"/>
      <c r="B184" s="21" t="n"/>
      <c r="C184" s="21" t="n"/>
      <c r="D184" s="21" t="n"/>
      <c r="E184" s="21" t="n"/>
      <c r="F184" s="22" t="n"/>
      <c r="G184" s="23">
        <f>IFERROR(IF(E184="","",VLOOKUP(E184,'Setup - Mix Design'!$A$5:$I$304,9,0)),"")</f>
        <v/>
      </c>
      <c r="H184" s="23">
        <f>IF(OR(F184="",G184=""),"",F184*G184)</f>
        <v/>
      </c>
      <c r="I184" s="23">
        <f>IF(B184="","",SUMIF('Dispatch (Challan)'!$C$5:$C$304,B184,'Dispatch (Challan)'!$F$5:$F$304))</f>
        <v/>
      </c>
      <c r="J184" s="23">
        <f>IF(F184="","",F184-I184)</f>
        <v/>
      </c>
      <c r="K184" s="23">
        <f>IF(F184="","",IF(I184=0,"Pending",IF(I184&gt;=F184,"Completed","Partial")))</f>
        <v/>
      </c>
    </row>
    <row r="185">
      <c r="A185" s="26" t="n"/>
      <c r="B185" s="21" t="n"/>
      <c r="C185" s="21" t="n"/>
      <c r="D185" s="21" t="n"/>
      <c r="E185" s="21" t="n"/>
      <c r="F185" s="22" t="n"/>
      <c r="G185" s="23">
        <f>IFERROR(IF(E185="","",VLOOKUP(E185,'Setup - Mix Design'!$A$5:$I$304,9,0)),"")</f>
        <v/>
      </c>
      <c r="H185" s="23">
        <f>IF(OR(F185="",G185=""),"",F185*G185)</f>
        <v/>
      </c>
      <c r="I185" s="23">
        <f>IF(B185="","",SUMIF('Dispatch (Challan)'!$C$5:$C$304,B185,'Dispatch (Challan)'!$F$5:$F$304))</f>
        <v/>
      </c>
      <c r="J185" s="23">
        <f>IF(F185="","",F185-I185)</f>
        <v/>
      </c>
      <c r="K185" s="23">
        <f>IF(F185="","",IF(I185=0,"Pending",IF(I185&gt;=F185,"Completed","Partial")))</f>
        <v/>
      </c>
    </row>
    <row r="186">
      <c r="A186" s="26" t="n"/>
      <c r="B186" s="21" t="n"/>
      <c r="C186" s="21" t="n"/>
      <c r="D186" s="21" t="n"/>
      <c r="E186" s="21" t="n"/>
      <c r="F186" s="22" t="n"/>
      <c r="G186" s="23">
        <f>IFERROR(IF(E186="","",VLOOKUP(E186,'Setup - Mix Design'!$A$5:$I$304,9,0)),"")</f>
        <v/>
      </c>
      <c r="H186" s="23">
        <f>IF(OR(F186="",G186=""),"",F186*G186)</f>
        <v/>
      </c>
      <c r="I186" s="23">
        <f>IF(B186="","",SUMIF('Dispatch (Challan)'!$C$5:$C$304,B186,'Dispatch (Challan)'!$F$5:$F$304))</f>
        <v/>
      </c>
      <c r="J186" s="23">
        <f>IF(F186="","",F186-I186)</f>
        <v/>
      </c>
      <c r="K186" s="23">
        <f>IF(F186="","",IF(I186=0,"Pending",IF(I186&gt;=F186,"Completed","Partial")))</f>
        <v/>
      </c>
    </row>
    <row r="187">
      <c r="A187" s="26" t="n"/>
      <c r="B187" s="21" t="n"/>
      <c r="C187" s="21" t="n"/>
      <c r="D187" s="21" t="n"/>
      <c r="E187" s="21" t="n"/>
      <c r="F187" s="22" t="n"/>
      <c r="G187" s="23">
        <f>IFERROR(IF(E187="","",VLOOKUP(E187,'Setup - Mix Design'!$A$5:$I$304,9,0)),"")</f>
        <v/>
      </c>
      <c r="H187" s="23">
        <f>IF(OR(F187="",G187=""),"",F187*G187)</f>
        <v/>
      </c>
      <c r="I187" s="23">
        <f>IF(B187="","",SUMIF('Dispatch (Challan)'!$C$5:$C$304,B187,'Dispatch (Challan)'!$F$5:$F$304))</f>
        <v/>
      </c>
      <c r="J187" s="23">
        <f>IF(F187="","",F187-I187)</f>
        <v/>
      </c>
      <c r="K187" s="23">
        <f>IF(F187="","",IF(I187=0,"Pending",IF(I187&gt;=F187,"Completed","Partial")))</f>
        <v/>
      </c>
    </row>
    <row r="188">
      <c r="A188" s="26" t="n"/>
      <c r="B188" s="21" t="n"/>
      <c r="C188" s="21" t="n"/>
      <c r="D188" s="21" t="n"/>
      <c r="E188" s="21" t="n"/>
      <c r="F188" s="22" t="n"/>
      <c r="G188" s="23">
        <f>IFERROR(IF(E188="","",VLOOKUP(E188,'Setup - Mix Design'!$A$5:$I$304,9,0)),"")</f>
        <v/>
      </c>
      <c r="H188" s="23">
        <f>IF(OR(F188="",G188=""),"",F188*G188)</f>
        <v/>
      </c>
      <c r="I188" s="23">
        <f>IF(B188="","",SUMIF('Dispatch (Challan)'!$C$5:$C$304,B188,'Dispatch (Challan)'!$F$5:$F$304))</f>
        <v/>
      </c>
      <c r="J188" s="23">
        <f>IF(F188="","",F188-I188)</f>
        <v/>
      </c>
      <c r="K188" s="23">
        <f>IF(F188="","",IF(I188=0,"Pending",IF(I188&gt;=F188,"Completed","Partial")))</f>
        <v/>
      </c>
    </row>
    <row r="189">
      <c r="A189" s="26" t="n"/>
      <c r="B189" s="21" t="n"/>
      <c r="C189" s="21" t="n"/>
      <c r="D189" s="21" t="n"/>
      <c r="E189" s="21" t="n"/>
      <c r="F189" s="22" t="n"/>
      <c r="G189" s="23">
        <f>IFERROR(IF(E189="","",VLOOKUP(E189,'Setup - Mix Design'!$A$5:$I$304,9,0)),"")</f>
        <v/>
      </c>
      <c r="H189" s="23">
        <f>IF(OR(F189="",G189=""),"",F189*G189)</f>
        <v/>
      </c>
      <c r="I189" s="23">
        <f>IF(B189="","",SUMIF('Dispatch (Challan)'!$C$5:$C$304,B189,'Dispatch (Challan)'!$F$5:$F$304))</f>
        <v/>
      </c>
      <c r="J189" s="23">
        <f>IF(F189="","",F189-I189)</f>
        <v/>
      </c>
      <c r="K189" s="23">
        <f>IF(F189="","",IF(I189=0,"Pending",IF(I189&gt;=F189,"Completed","Partial")))</f>
        <v/>
      </c>
    </row>
    <row r="190">
      <c r="A190" s="26" t="n"/>
      <c r="B190" s="21" t="n"/>
      <c r="C190" s="21" t="n"/>
      <c r="D190" s="21" t="n"/>
      <c r="E190" s="21" t="n"/>
      <c r="F190" s="22" t="n"/>
      <c r="G190" s="23">
        <f>IFERROR(IF(E190="","",VLOOKUP(E190,'Setup - Mix Design'!$A$5:$I$304,9,0)),"")</f>
        <v/>
      </c>
      <c r="H190" s="23">
        <f>IF(OR(F190="",G190=""),"",F190*G190)</f>
        <v/>
      </c>
      <c r="I190" s="23">
        <f>IF(B190="","",SUMIF('Dispatch (Challan)'!$C$5:$C$304,B190,'Dispatch (Challan)'!$F$5:$F$304))</f>
        <v/>
      </c>
      <c r="J190" s="23">
        <f>IF(F190="","",F190-I190)</f>
        <v/>
      </c>
      <c r="K190" s="23">
        <f>IF(F190="","",IF(I190=0,"Pending",IF(I190&gt;=F190,"Completed","Partial")))</f>
        <v/>
      </c>
    </row>
    <row r="191">
      <c r="A191" s="26" t="n"/>
      <c r="B191" s="21" t="n"/>
      <c r="C191" s="21" t="n"/>
      <c r="D191" s="21" t="n"/>
      <c r="E191" s="21" t="n"/>
      <c r="F191" s="22" t="n"/>
      <c r="G191" s="23">
        <f>IFERROR(IF(E191="","",VLOOKUP(E191,'Setup - Mix Design'!$A$5:$I$304,9,0)),"")</f>
        <v/>
      </c>
      <c r="H191" s="23">
        <f>IF(OR(F191="",G191=""),"",F191*G191)</f>
        <v/>
      </c>
      <c r="I191" s="23">
        <f>IF(B191="","",SUMIF('Dispatch (Challan)'!$C$5:$C$304,B191,'Dispatch (Challan)'!$F$5:$F$304))</f>
        <v/>
      </c>
      <c r="J191" s="23">
        <f>IF(F191="","",F191-I191)</f>
        <v/>
      </c>
      <c r="K191" s="23">
        <f>IF(F191="","",IF(I191=0,"Pending",IF(I191&gt;=F191,"Completed","Partial")))</f>
        <v/>
      </c>
    </row>
    <row r="192">
      <c r="A192" s="26" t="n"/>
      <c r="B192" s="21" t="n"/>
      <c r="C192" s="21" t="n"/>
      <c r="D192" s="21" t="n"/>
      <c r="E192" s="21" t="n"/>
      <c r="F192" s="22" t="n"/>
      <c r="G192" s="23">
        <f>IFERROR(IF(E192="","",VLOOKUP(E192,'Setup - Mix Design'!$A$5:$I$304,9,0)),"")</f>
        <v/>
      </c>
      <c r="H192" s="23">
        <f>IF(OR(F192="",G192=""),"",F192*G192)</f>
        <v/>
      </c>
      <c r="I192" s="23">
        <f>IF(B192="","",SUMIF('Dispatch (Challan)'!$C$5:$C$304,B192,'Dispatch (Challan)'!$F$5:$F$304))</f>
        <v/>
      </c>
      <c r="J192" s="23">
        <f>IF(F192="","",F192-I192)</f>
        <v/>
      </c>
      <c r="K192" s="23">
        <f>IF(F192="","",IF(I192=0,"Pending",IF(I192&gt;=F192,"Completed","Partial")))</f>
        <v/>
      </c>
    </row>
    <row r="193">
      <c r="A193" s="26" t="n"/>
      <c r="B193" s="21" t="n"/>
      <c r="C193" s="21" t="n"/>
      <c r="D193" s="21" t="n"/>
      <c r="E193" s="21" t="n"/>
      <c r="F193" s="22" t="n"/>
      <c r="G193" s="23">
        <f>IFERROR(IF(E193="","",VLOOKUP(E193,'Setup - Mix Design'!$A$5:$I$304,9,0)),"")</f>
        <v/>
      </c>
      <c r="H193" s="23">
        <f>IF(OR(F193="",G193=""),"",F193*G193)</f>
        <v/>
      </c>
      <c r="I193" s="23">
        <f>IF(B193="","",SUMIF('Dispatch (Challan)'!$C$5:$C$304,B193,'Dispatch (Challan)'!$F$5:$F$304))</f>
        <v/>
      </c>
      <c r="J193" s="23">
        <f>IF(F193="","",F193-I193)</f>
        <v/>
      </c>
      <c r="K193" s="23">
        <f>IF(F193="","",IF(I193=0,"Pending",IF(I193&gt;=F193,"Completed","Partial")))</f>
        <v/>
      </c>
    </row>
    <row r="194">
      <c r="A194" s="26" t="n"/>
      <c r="B194" s="21" t="n"/>
      <c r="C194" s="21" t="n"/>
      <c r="D194" s="21" t="n"/>
      <c r="E194" s="21" t="n"/>
      <c r="F194" s="22" t="n"/>
      <c r="G194" s="23">
        <f>IFERROR(IF(E194="","",VLOOKUP(E194,'Setup - Mix Design'!$A$5:$I$304,9,0)),"")</f>
        <v/>
      </c>
      <c r="H194" s="23">
        <f>IF(OR(F194="",G194=""),"",F194*G194)</f>
        <v/>
      </c>
      <c r="I194" s="23">
        <f>IF(B194="","",SUMIF('Dispatch (Challan)'!$C$5:$C$304,B194,'Dispatch (Challan)'!$F$5:$F$304))</f>
        <v/>
      </c>
      <c r="J194" s="23">
        <f>IF(F194="","",F194-I194)</f>
        <v/>
      </c>
      <c r="K194" s="23">
        <f>IF(F194="","",IF(I194=0,"Pending",IF(I194&gt;=F194,"Completed","Partial")))</f>
        <v/>
      </c>
    </row>
    <row r="195">
      <c r="A195" s="26" t="n"/>
      <c r="B195" s="21" t="n"/>
      <c r="C195" s="21" t="n"/>
      <c r="D195" s="21" t="n"/>
      <c r="E195" s="21" t="n"/>
      <c r="F195" s="22" t="n"/>
      <c r="G195" s="23">
        <f>IFERROR(IF(E195="","",VLOOKUP(E195,'Setup - Mix Design'!$A$5:$I$304,9,0)),"")</f>
        <v/>
      </c>
      <c r="H195" s="23">
        <f>IF(OR(F195="",G195=""),"",F195*G195)</f>
        <v/>
      </c>
      <c r="I195" s="23">
        <f>IF(B195="","",SUMIF('Dispatch (Challan)'!$C$5:$C$304,B195,'Dispatch (Challan)'!$F$5:$F$304))</f>
        <v/>
      </c>
      <c r="J195" s="23">
        <f>IF(F195="","",F195-I195)</f>
        <v/>
      </c>
      <c r="K195" s="23">
        <f>IF(F195="","",IF(I195=0,"Pending",IF(I195&gt;=F195,"Completed","Partial")))</f>
        <v/>
      </c>
    </row>
    <row r="196">
      <c r="A196" s="26" t="n"/>
      <c r="B196" s="21" t="n"/>
      <c r="C196" s="21" t="n"/>
      <c r="D196" s="21" t="n"/>
      <c r="E196" s="21" t="n"/>
      <c r="F196" s="22" t="n"/>
      <c r="G196" s="23">
        <f>IFERROR(IF(E196="","",VLOOKUP(E196,'Setup - Mix Design'!$A$5:$I$304,9,0)),"")</f>
        <v/>
      </c>
      <c r="H196" s="23">
        <f>IF(OR(F196="",G196=""),"",F196*G196)</f>
        <v/>
      </c>
      <c r="I196" s="23">
        <f>IF(B196="","",SUMIF('Dispatch (Challan)'!$C$5:$C$304,B196,'Dispatch (Challan)'!$F$5:$F$304))</f>
        <v/>
      </c>
      <c r="J196" s="23">
        <f>IF(F196="","",F196-I196)</f>
        <v/>
      </c>
      <c r="K196" s="23">
        <f>IF(F196="","",IF(I196=0,"Pending",IF(I196&gt;=F196,"Completed","Partial")))</f>
        <v/>
      </c>
    </row>
    <row r="197">
      <c r="A197" s="26" t="n"/>
      <c r="B197" s="21" t="n"/>
      <c r="C197" s="21" t="n"/>
      <c r="D197" s="21" t="n"/>
      <c r="E197" s="21" t="n"/>
      <c r="F197" s="22" t="n"/>
      <c r="G197" s="23">
        <f>IFERROR(IF(E197="","",VLOOKUP(E197,'Setup - Mix Design'!$A$5:$I$304,9,0)),"")</f>
        <v/>
      </c>
      <c r="H197" s="23">
        <f>IF(OR(F197="",G197=""),"",F197*G197)</f>
        <v/>
      </c>
      <c r="I197" s="23">
        <f>IF(B197="","",SUMIF('Dispatch (Challan)'!$C$5:$C$304,B197,'Dispatch (Challan)'!$F$5:$F$304))</f>
        <v/>
      </c>
      <c r="J197" s="23">
        <f>IF(F197="","",F197-I197)</f>
        <v/>
      </c>
      <c r="K197" s="23">
        <f>IF(F197="","",IF(I197=0,"Pending",IF(I197&gt;=F197,"Completed","Partial")))</f>
        <v/>
      </c>
    </row>
    <row r="198">
      <c r="A198" s="26" t="n"/>
      <c r="B198" s="21" t="n"/>
      <c r="C198" s="21" t="n"/>
      <c r="D198" s="21" t="n"/>
      <c r="E198" s="21" t="n"/>
      <c r="F198" s="22" t="n"/>
      <c r="G198" s="23">
        <f>IFERROR(IF(E198="","",VLOOKUP(E198,'Setup - Mix Design'!$A$5:$I$304,9,0)),"")</f>
        <v/>
      </c>
      <c r="H198" s="23">
        <f>IF(OR(F198="",G198=""),"",F198*G198)</f>
        <v/>
      </c>
      <c r="I198" s="23">
        <f>IF(B198="","",SUMIF('Dispatch (Challan)'!$C$5:$C$304,B198,'Dispatch (Challan)'!$F$5:$F$304))</f>
        <v/>
      </c>
      <c r="J198" s="23">
        <f>IF(F198="","",F198-I198)</f>
        <v/>
      </c>
      <c r="K198" s="23">
        <f>IF(F198="","",IF(I198=0,"Pending",IF(I198&gt;=F198,"Completed","Partial")))</f>
        <v/>
      </c>
    </row>
    <row r="199">
      <c r="A199" s="26" t="n"/>
      <c r="B199" s="21" t="n"/>
      <c r="C199" s="21" t="n"/>
      <c r="D199" s="21" t="n"/>
      <c r="E199" s="21" t="n"/>
      <c r="F199" s="22" t="n"/>
      <c r="G199" s="23">
        <f>IFERROR(IF(E199="","",VLOOKUP(E199,'Setup - Mix Design'!$A$5:$I$304,9,0)),"")</f>
        <v/>
      </c>
      <c r="H199" s="23">
        <f>IF(OR(F199="",G199=""),"",F199*G199)</f>
        <v/>
      </c>
      <c r="I199" s="23">
        <f>IF(B199="","",SUMIF('Dispatch (Challan)'!$C$5:$C$304,B199,'Dispatch (Challan)'!$F$5:$F$304))</f>
        <v/>
      </c>
      <c r="J199" s="23">
        <f>IF(F199="","",F199-I199)</f>
        <v/>
      </c>
      <c r="K199" s="23">
        <f>IF(F199="","",IF(I199=0,"Pending",IF(I199&gt;=F199,"Completed","Partial")))</f>
        <v/>
      </c>
    </row>
    <row r="200">
      <c r="A200" s="26" t="n"/>
      <c r="B200" s="21" t="n"/>
      <c r="C200" s="21" t="n"/>
      <c r="D200" s="21" t="n"/>
      <c r="E200" s="21" t="n"/>
      <c r="F200" s="22" t="n"/>
      <c r="G200" s="23">
        <f>IFERROR(IF(E200="","",VLOOKUP(E200,'Setup - Mix Design'!$A$5:$I$304,9,0)),"")</f>
        <v/>
      </c>
      <c r="H200" s="23">
        <f>IF(OR(F200="",G200=""),"",F200*G200)</f>
        <v/>
      </c>
      <c r="I200" s="23">
        <f>IF(B200="","",SUMIF('Dispatch (Challan)'!$C$5:$C$304,B200,'Dispatch (Challan)'!$F$5:$F$304))</f>
        <v/>
      </c>
      <c r="J200" s="23">
        <f>IF(F200="","",F200-I200)</f>
        <v/>
      </c>
      <c r="K200" s="23">
        <f>IF(F200="","",IF(I200=0,"Pending",IF(I200&gt;=F200,"Completed","Partial")))</f>
        <v/>
      </c>
    </row>
    <row r="201">
      <c r="A201" s="26" t="n"/>
      <c r="B201" s="21" t="n"/>
      <c r="C201" s="21" t="n"/>
      <c r="D201" s="21" t="n"/>
      <c r="E201" s="21" t="n"/>
      <c r="F201" s="22" t="n"/>
      <c r="G201" s="23">
        <f>IFERROR(IF(E201="","",VLOOKUP(E201,'Setup - Mix Design'!$A$5:$I$304,9,0)),"")</f>
        <v/>
      </c>
      <c r="H201" s="23">
        <f>IF(OR(F201="",G201=""),"",F201*G201)</f>
        <v/>
      </c>
      <c r="I201" s="23">
        <f>IF(B201="","",SUMIF('Dispatch (Challan)'!$C$5:$C$304,B201,'Dispatch (Challan)'!$F$5:$F$304))</f>
        <v/>
      </c>
      <c r="J201" s="23">
        <f>IF(F201="","",F201-I201)</f>
        <v/>
      </c>
      <c r="K201" s="23">
        <f>IF(F201="","",IF(I201=0,"Pending",IF(I201&gt;=F201,"Completed","Partial")))</f>
        <v/>
      </c>
    </row>
    <row r="202">
      <c r="A202" s="26" t="n"/>
      <c r="B202" s="21" t="n"/>
      <c r="C202" s="21" t="n"/>
      <c r="D202" s="21" t="n"/>
      <c r="E202" s="21" t="n"/>
      <c r="F202" s="22" t="n"/>
      <c r="G202" s="23">
        <f>IFERROR(IF(E202="","",VLOOKUP(E202,'Setup - Mix Design'!$A$5:$I$304,9,0)),"")</f>
        <v/>
      </c>
      <c r="H202" s="23">
        <f>IF(OR(F202="",G202=""),"",F202*G202)</f>
        <v/>
      </c>
      <c r="I202" s="23">
        <f>IF(B202="","",SUMIF('Dispatch (Challan)'!$C$5:$C$304,B202,'Dispatch (Challan)'!$F$5:$F$304))</f>
        <v/>
      </c>
      <c r="J202" s="23">
        <f>IF(F202="","",F202-I202)</f>
        <v/>
      </c>
      <c r="K202" s="23">
        <f>IF(F202="","",IF(I202=0,"Pending",IF(I202&gt;=F202,"Completed","Partial")))</f>
        <v/>
      </c>
    </row>
    <row r="203">
      <c r="A203" s="26" t="n"/>
      <c r="B203" s="21" t="n"/>
      <c r="C203" s="21" t="n"/>
      <c r="D203" s="21" t="n"/>
      <c r="E203" s="21" t="n"/>
      <c r="F203" s="22" t="n"/>
      <c r="G203" s="23">
        <f>IFERROR(IF(E203="","",VLOOKUP(E203,'Setup - Mix Design'!$A$5:$I$304,9,0)),"")</f>
        <v/>
      </c>
      <c r="H203" s="23">
        <f>IF(OR(F203="",G203=""),"",F203*G203)</f>
        <v/>
      </c>
      <c r="I203" s="23">
        <f>IF(B203="","",SUMIF('Dispatch (Challan)'!$C$5:$C$304,B203,'Dispatch (Challan)'!$F$5:$F$304))</f>
        <v/>
      </c>
      <c r="J203" s="23">
        <f>IF(F203="","",F203-I203)</f>
        <v/>
      </c>
      <c r="K203" s="23">
        <f>IF(F203="","",IF(I203=0,"Pending",IF(I203&gt;=F203,"Completed","Partial")))</f>
        <v/>
      </c>
    </row>
    <row r="204">
      <c r="A204" s="26" t="n"/>
      <c r="B204" s="21" t="n"/>
      <c r="C204" s="21" t="n"/>
      <c r="D204" s="21" t="n"/>
      <c r="E204" s="21" t="n"/>
      <c r="F204" s="22" t="n"/>
      <c r="G204" s="23">
        <f>IFERROR(IF(E204="","",VLOOKUP(E204,'Setup - Mix Design'!$A$5:$I$304,9,0)),"")</f>
        <v/>
      </c>
      <c r="H204" s="23">
        <f>IF(OR(F204="",G204=""),"",F204*G204)</f>
        <v/>
      </c>
      <c r="I204" s="23">
        <f>IF(B204="","",SUMIF('Dispatch (Challan)'!$C$5:$C$304,B204,'Dispatch (Challan)'!$F$5:$F$304))</f>
        <v/>
      </c>
      <c r="J204" s="23">
        <f>IF(F204="","",F204-I204)</f>
        <v/>
      </c>
      <c r="K204" s="23">
        <f>IF(F204="","",IF(I204=0,"Pending",IF(I204&gt;=F204,"Completed","Partial")))</f>
        <v/>
      </c>
    </row>
    <row r="205">
      <c r="A205" s="26" t="n"/>
      <c r="B205" s="21" t="n"/>
      <c r="C205" s="21" t="n"/>
      <c r="D205" s="21" t="n"/>
      <c r="E205" s="21" t="n"/>
      <c r="F205" s="22" t="n"/>
      <c r="G205" s="23">
        <f>IFERROR(IF(E205="","",VLOOKUP(E205,'Setup - Mix Design'!$A$5:$I$304,9,0)),"")</f>
        <v/>
      </c>
      <c r="H205" s="23">
        <f>IF(OR(F205="",G205=""),"",F205*G205)</f>
        <v/>
      </c>
      <c r="I205" s="23">
        <f>IF(B205="","",SUMIF('Dispatch (Challan)'!$C$5:$C$304,B205,'Dispatch (Challan)'!$F$5:$F$304))</f>
        <v/>
      </c>
      <c r="J205" s="23">
        <f>IF(F205="","",F205-I205)</f>
        <v/>
      </c>
      <c r="K205" s="23">
        <f>IF(F205="","",IF(I205=0,"Pending",IF(I205&gt;=F205,"Completed","Partial")))</f>
        <v/>
      </c>
    </row>
    <row r="206">
      <c r="A206" s="26" t="n"/>
      <c r="B206" s="21" t="n"/>
      <c r="C206" s="21" t="n"/>
      <c r="D206" s="21" t="n"/>
      <c r="E206" s="21" t="n"/>
      <c r="F206" s="22" t="n"/>
      <c r="G206" s="23">
        <f>IFERROR(IF(E206="","",VLOOKUP(E206,'Setup - Mix Design'!$A$5:$I$304,9,0)),"")</f>
        <v/>
      </c>
      <c r="H206" s="23">
        <f>IF(OR(F206="",G206=""),"",F206*G206)</f>
        <v/>
      </c>
      <c r="I206" s="23">
        <f>IF(B206="","",SUMIF('Dispatch (Challan)'!$C$5:$C$304,B206,'Dispatch (Challan)'!$F$5:$F$304))</f>
        <v/>
      </c>
      <c r="J206" s="23">
        <f>IF(F206="","",F206-I206)</f>
        <v/>
      </c>
      <c r="K206" s="23">
        <f>IF(F206="","",IF(I206=0,"Pending",IF(I206&gt;=F206,"Completed","Partial")))</f>
        <v/>
      </c>
    </row>
    <row r="207">
      <c r="A207" s="26" t="n"/>
      <c r="B207" s="21" t="n"/>
      <c r="C207" s="21" t="n"/>
      <c r="D207" s="21" t="n"/>
      <c r="E207" s="21" t="n"/>
      <c r="F207" s="22" t="n"/>
      <c r="G207" s="23">
        <f>IFERROR(IF(E207="","",VLOOKUP(E207,'Setup - Mix Design'!$A$5:$I$304,9,0)),"")</f>
        <v/>
      </c>
      <c r="H207" s="23">
        <f>IF(OR(F207="",G207=""),"",F207*G207)</f>
        <v/>
      </c>
      <c r="I207" s="23">
        <f>IF(B207="","",SUMIF('Dispatch (Challan)'!$C$5:$C$304,B207,'Dispatch (Challan)'!$F$5:$F$304))</f>
        <v/>
      </c>
      <c r="J207" s="23">
        <f>IF(F207="","",F207-I207)</f>
        <v/>
      </c>
      <c r="K207" s="23">
        <f>IF(F207="","",IF(I207=0,"Pending",IF(I207&gt;=F207,"Completed","Partial")))</f>
        <v/>
      </c>
    </row>
    <row r="208">
      <c r="A208" s="26" t="n"/>
      <c r="B208" s="21" t="n"/>
      <c r="C208" s="21" t="n"/>
      <c r="D208" s="21" t="n"/>
      <c r="E208" s="21" t="n"/>
      <c r="F208" s="22" t="n"/>
      <c r="G208" s="23">
        <f>IFERROR(IF(E208="","",VLOOKUP(E208,'Setup - Mix Design'!$A$5:$I$304,9,0)),"")</f>
        <v/>
      </c>
      <c r="H208" s="23">
        <f>IF(OR(F208="",G208=""),"",F208*G208)</f>
        <v/>
      </c>
      <c r="I208" s="23">
        <f>IF(B208="","",SUMIF('Dispatch (Challan)'!$C$5:$C$304,B208,'Dispatch (Challan)'!$F$5:$F$304))</f>
        <v/>
      </c>
      <c r="J208" s="23">
        <f>IF(F208="","",F208-I208)</f>
        <v/>
      </c>
      <c r="K208" s="23">
        <f>IF(F208="","",IF(I208=0,"Pending",IF(I208&gt;=F208,"Completed","Partial")))</f>
        <v/>
      </c>
    </row>
    <row r="209">
      <c r="A209" s="26" t="n"/>
      <c r="B209" s="21" t="n"/>
      <c r="C209" s="21" t="n"/>
      <c r="D209" s="21" t="n"/>
      <c r="E209" s="21" t="n"/>
      <c r="F209" s="22" t="n"/>
      <c r="G209" s="23">
        <f>IFERROR(IF(E209="","",VLOOKUP(E209,'Setup - Mix Design'!$A$5:$I$304,9,0)),"")</f>
        <v/>
      </c>
      <c r="H209" s="23">
        <f>IF(OR(F209="",G209=""),"",F209*G209)</f>
        <v/>
      </c>
      <c r="I209" s="23">
        <f>IF(B209="","",SUMIF('Dispatch (Challan)'!$C$5:$C$304,B209,'Dispatch (Challan)'!$F$5:$F$304))</f>
        <v/>
      </c>
      <c r="J209" s="23">
        <f>IF(F209="","",F209-I209)</f>
        <v/>
      </c>
      <c r="K209" s="23">
        <f>IF(F209="","",IF(I209=0,"Pending",IF(I209&gt;=F209,"Completed","Partial")))</f>
        <v/>
      </c>
    </row>
    <row r="210">
      <c r="A210" s="26" t="n"/>
      <c r="B210" s="21" t="n"/>
      <c r="C210" s="21" t="n"/>
      <c r="D210" s="21" t="n"/>
      <c r="E210" s="21" t="n"/>
      <c r="F210" s="22" t="n"/>
      <c r="G210" s="23">
        <f>IFERROR(IF(E210="","",VLOOKUP(E210,'Setup - Mix Design'!$A$5:$I$304,9,0)),"")</f>
        <v/>
      </c>
      <c r="H210" s="23">
        <f>IF(OR(F210="",G210=""),"",F210*G210)</f>
        <v/>
      </c>
      <c r="I210" s="23">
        <f>IF(B210="","",SUMIF('Dispatch (Challan)'!$C$5:$C$304,B210,'Dispatch (Challan)'!$F$5:$F$304))</f>
        <v/>
      </c>
      <c r="J210" s="23">
        <f>IF(F210="","",F210-I210)</f>
        <v/>
      </c>
      <c r="K210" s="23">
        <f>IF(F210="","",IF(I210=0,"Pending",IF(I210&gt;=F210,"Completed","Partial")))</f>
        <v/>
      </c>
    </row>
    <row r="211">
      <c r="A211" s="26" t="n"/>
      <c r="B211" s="21" t="n"/>
      <c r="C211" s="21" t="n"/>
      <c r="D211" s="21" t="n"/>
      <c r="E211" s="21" t="n"/>
      <c r="F211" s="22" t="n"/>
      <c r="G211" s="23">
        <f>IFERROR(IF(E211="","",VLOOKUP(E211,'Setup - Mix Design'!$A$5:$I$304,9,0)),"")</f>
        <v/>
      </c>
      <c r="H211" s="23">
        <f>IF(OR(F211="",G211=""),"",F211*G211)</f>
        <v/>
      </c>
      <c r="I211" s="23">
        <f>IF(B211="","",SUMIF('Dispatch (Challan)'!$C$5:$C$304,B211,'Dispatch (Challan)'!$F$5:$F$304))</f>
        <v/>
      </c>
      <c r="J211" s="23">
        <f>IF(F211="","",F211-I211)</f>
        <v/>
      </c>
      <c r="K211" s="23">
        <f>IF(F211="","",IF(I211=0,"Pending",IF(I211&gt;=F211,"Completed","Partial")))</f>
        <v/>
      </c>
    </row>
    <row r="212">
      <c r="A212" s="26" t="n"/>
      <c r="B212" s="21" t="n"/>
      <c r="C212" s="21" t="n"/>
      <c r="D212" s="21" t="n"/>
      <c r="E212" s="21" t="n"/>
      <c r="F212" s="22" t="n"/>
      <c r="G212" s="23">
        <f>IFERROR(IF(E212="","",VLOOKUP(E212,'Setup - Mix Design'!$A$5:$I$304,9,0)),"")</f>
        <v/>
      </c>
      <c r="H212" s="23">
        <f>IF(OR(F212="",G212=""),"",F212*G212)</f>
        <v/>
      </c>
      <c r="I212" s="23">
        <f>IF(B212="","",SUMIF('Dispatch (Challan)'!$C$5:$C$304,B212,'Dispatch (Challan)'!$F$5:$F$304))</f>
        <v/>
      </c>
      <c r="J212" s="23">
        <f>IF(F212="","",F212-I212)</f>
        <v/>
      </c>
      <c r="K212" s="23">
        <f>IF(F212="","",IF(I212=0,"Pending",IF(I212&gt;=F212,"Completed","Partial")))</f>
        <v/>
      </c>
    </row>
    <row r="213">
      <c r="A213" s="26" t="n"/>
      <c r="B213" s="21" t="n"/>
      <c r="C213" s="21" t="n"/>
      <c r="D213" s="21" t="n"/>
      <c r="E213" s="21" t="n"/>
      <c r="F213" s="22" t="n"/>
      <c r="G213" s="23">
        <f>IFERROR(IF(E213="","",VLOOKUP(E213,'Setup - Mix Design'!$A$5:$I$304,9,0)),"")</f>
        <v/>
      </c>
      <c r="H213" s="23">
        <f>IF(OR(F213="",G213=""),"",F213*G213)</f>
        <v/>
      </c>
      <c r="I213" s="23">
        <f>IF(B213="","",SUMIF('Dispatch (Challan)'!$C$5:$C$304,B213,'Dispatch (Challan)'!$F$5:$F$304))</f>
        <v/>
      </c>
      <c r="J213" s="23">
        <f>IF(F213="","",F213-I213)</f>
        <v/>
      </c>
      <c r="K213" s="23">
        <f>IF(F213="","",IF(I213=0,"Pending",IF(I213&gt;=F213,"Completed","Partial")))</f>
        <v/>
      </c>
    </row>
    <row r="214">
      <c r="A214" s="26" t="n"/>
      <c r="B214" s="21" t="n"/>
      <c r="C214" s="21" t="n"/>
      <c r="D214" s="21" t="n"/>
      <c r="E214" s="21" t="n"/>
      <c r="F214" s="22" t="n"/>
      <c r="G214" s="23">
        <f>IFERROR(IF(E214="","",VLOOKUP(E214,'Setup - Mix Design'!$A$5:$I$304,9,0)),"")</f>
        <v/>
      </c>
      <c r="H214" s="23">
        <f>IF(OR(F214="",G214=""),"",F214*G214)</f>
        <v/>
      </c>
      <c r="I214" s="23">
        <f>IF(B214="","",SUMIF('Dispatch (Challan)'!$C$5:$C$304,B214,'Dispatch (Challan)'!$F$5:$F$304))</f>
        <v/>
      </c>
      <c r="J214" s="23">
        <f>IF(F214="","",F214-I214)</f>
        <v/>
      </c>
      <c r="K214" s="23">
        <f>IF(F214="","",IF(I214=0,"Pending",IF(I214&gt;=F214,"Completed","Partial")))</f>
        <v/>
      </c>
    </row>
    <row r="215">
      <c r="A215" s="26" t="n"/>
      <c r="B215" s="21" t="n"/>
      <c r="C215" s="21" t="n"/>
      <c r="D215" s="21" t="n"/>
      <c r="E215" s="21" t="n"/>
      <c r="F215" s="22" t="n"/>
      <c r="G215" s="23">
        <f>IFERROR(IF(E215="","",VLOOKUP(E215,'Setup - Mix Design'!$A$5:$I$304,9,0)),"")</f>
        <v/>
      </c>
      <c r="H215" s="23">
        <f>IF(OR(F215="",G215=""),"",F215*G215)</f>
        <v/>
      </c>
      <c r="I215" s="23">
        <f>IF(B215="","",SUMIF('Dispatch (Challan)'!$C$5:$C$304,B215,'Dispatch (Challan)'!$F$5:$F$304))</f>
        <v/>
      </c>
      <c r="J215" s="23">
        <f>IF(F215="","",F215-I215)</f>
        <v/>
      </c>
      <c r="K215" s="23">
        <f>IF(F215="","",IF(I215=0,"Pending",IF(I215&gt;=F215,"Completed","Partial")))</f>
        <v/>
      </c>
    </row>
    <row r="216">
      <c r="A216" s="26" t="n"/>
      <c r="B216" s="21" t="n"/>
      <c r="C216" s="21" t="n"/>
      <c r="D216" s="21" t="n"/>
      <c r="E216" s="21" t="n"/>
      <c r="F216" s="22" t="n"/>
      <c r="G216" s="23">
        <f>IFERROR(IF(E216="","",VLOOKUP(E216,'Setup - Mix Design'!$A$5:$I$304,9,0)),"")</f>
        <v/>
      </c>
      <c r="H216" s="23">
        <f>IF(OR(F216="",G216=""),"",F216*G216)</f>
        <v/>
      </c>
      <c r="I216" s="23">
        <f>IF(B216="","",SUMIF('Dispatch (Challan)'!$C$5:$C$304,B216,'Dispatch (Challan)'!$F$5:$F$304))</f>
        <v/>
      </c>
      <c r="J216" s="23">
        <f>IF(F216="","",F216-I216)</f>
        <v/>
      </c>
      <c r="K216" s="23">
        <f>IF(F216="","",IF(I216=0,"Pending",IF(I216&gt;=F216,"Completed","Partial")))</f>
        <v/>
      </c>
    </row>
    <row r="217">
      <c r="A217" s="26" t="n"/>
      <c r="B217" s="21" t="n"/>
      <c r="C217" s="21" t="n"/>
      <c r="D217" s="21" t="n"/>
      <c r="E217" s="21" t="n"/>
      <c r="F217" s="22" t="n"/>
      <c r="G217" s="23">
        <f>IFERROR(IF(E217="","",VLOOKUP(E217,'Setup - Mix Design'!$A$5:$I$304,9,0)),"")</f>
        <v/>
      </c>
      <c r="H217" s="23">
        <f>IF(OR(F217="",G217=""),"",F217*G217)</f>
        <v/>
      </c>
      <c r="I217" s="23">
        <f>IF(B217="","",SUMIF('Dispatch (Challan)'!$C$5:$C$304,B217,'Dispatch (Challan)'!$F$5:$F$304))</f>
        <v/>
      </c>
      <c r="J217" s="23">
        <f>IF(F217="","",F217-I217)</f>
        <v/>
      </c>
      <c r="K217" s="23">
        <f>IF(F217="","",IF(I217=0,"Pending",IF(I217&gt;=F217,"Completed","Partial")))</f>
        <v/>
      </c>
    </row>
    <row r="218">
      <c r="A218" s="26" t="n"/>
      <c r="B218" s="21" t="n"/>
      <c r="C218" s="21" t="n"/>
      <c r="D218" s="21" t="n"/>
      <c r="E218" s="21" t="n"/>
      <c r="F218" s="22" t="n"/>
      <c r="G218" s="23">
        <f>IFERROR(IF(E218="","",VLOOKUP(E218,'Setup - Mix Design'!$A$5:$I$304,9,0)),"")</f>
        <v/>
      </c>
      <c r="H218" s="23">
        <f>IF(OR(F218="",G218=""),"",F218*G218)</f>
        <v/>
      </c>
      <c r="I218" s="23">
        <f>IF(B218="","",SUMIF('Dispatch (Challan)'!$C$5:$C$304,B218,'Dispatch (Challan)'!$F$5:$F$304))</f>
        <v/>
      </c>
      <c r="J218" s="23">
        <f>IF(F218="","",F218-I218)</f>
        <v/>
      </c>
      <c r="K218" s="23">
        <f>IF(F218="","",IF(I218=0,"Pending",IF(I218&gt;=F218,"Completed","Partial")))</f>
        <v/>
      </c>
    </row>
    <row r="219">
      <c r="A219" s="26" t="n"/>
      <c r="B219" s="21" t="n"/>
      <c r="C219" s="21" t="n"/>
      <c r="D219" s="21" t="n"/>
      <c r="E219" s="21" t="n"/>
      <c r="F219" s="22" t="n"/>
      <c r="G219" s="23">
        <f>IFERROR(IF(E219="","",VLOOKUP(E219,'Setup - Mix Design'!$A$5:$I$304,9,0)),"")</f>
        <v/>
      </c>
      <c r="H219" s="23">
        <f>IF(OR(F219="",G219=""),"",F219*G219)</f>
        <v/>
      </c>
      <c r="I219" s="23">
        <f>IF(B219="","",SUMIF('Dispatch (Challan)'!$C$5:$C$304,B219,'Dispatch (Challan)'!$F$5:$F$304))</f>
        <v/>
      </c>
      <c r="J219" s="23">
        <f>IF(F219="","",F219-I219)</f>
        <v/>
      </c>
      <c r="K219" s="23">
        <f>IF(F219="","",IF(I219=0,"Pending",IF(I219&gt;=F219,"Completed","Partial")))</f>
        <v/>
      </c>
    </row>
    <row r="220">
      <c r="A220" s="26" t="n"/>
      <c r="B220" s="21" t="n"/>
      <c r="C220" s="21" t="n"/>
      <c r="D220" s="21" t="n"/>
      <c r="E220" s="21" t="n"/>
      <c r="F220" s="22" t="n"/>
      <c r="G220" s="23">
        <f>IFERROR(IF(E220="","",VLOOKUP(E220,'Setup - Mix Design'!$A$5:$I$304,9,0)),"")</f>
        <v/>
      </c>
      <c r="H220" s="23">
        <f>IF(OR(F220="",G220=""),"",F220*G220)</f>
        <v/>
      </c>
      <c r="I220" s="23">
        <f>IF(B220="","",SUMIF('Dispatch (Challan)'!$C$5:$C$304,B220,'Dispatch (Challan)'!$F$5:$F$304))</f>
        <v/>
      </c>
      <c r="J220" s="23">
        <f>IF(F220="","",F220-I220)</f>
        <v/>
      </c>
      <c r="K220" s="23">
        <f>IF(F220="","",IF(I220=0,"Pending",IF(I220&gt;=F220,"Completed","Partial")))</f>
        <v/>
      </c>
    </row>
    <row r="221">
      <c r="A221" s="26" t="n"/>
      <c r="B221" s="21" t="n"/>
      <c r="C221" s="21" t="n"/>
      <c r="D221" s="21" t="n"/>
      <c r="E221" s="21" t="n"/>
      <c r="F221" s="22" t="n"/>
      <c r="G221" s="23">
        <f>IFERROR(IF(E221="","",VLOOKUP(E221,'Setup - Mix Design'!$A$5:$I$304,9,0)),"")</f>
        <v/>
      </c>
      <c r="H221" s="23">
        <f>IF(OR(F221="",G221=""),"",F221*G221)</f>
        <v/>
      </c>
      <c r="I221" s="23">
        <f>IF(B221="","",SUMIF('Dispatch (Challan)'!$C$5:$C$304,B221,'Dispatch (Challan)'!$F$5:$F$304))</f>
        <v/>
      </c>
      <c r="J221" s="23">
        <f>IF(F221="","",F221-I221)</f>
        <v/>
      </c>
      <c r="K221" s="23">
        <f>IF(F221="","",IF(I221=0,"Pending",IF(I221&gt;=F221,"Completed","Partial")))</f>
        <v/>
      </c>
    </row>
    <row r="222">
      <c r="A222" s="26" t="n"/>
      <c r="B222" s="21" t="n"/>
      <c r="C222" s="21" t="n"/>
      <c r="D222" s="21" t="n"/>
      <c r="E222" s="21" t="n"/>
      <c r="F222" s="22" t="n"/>
      <c r="G222" s="23">
        <f>IFERROR(IF(E222="","",VLOOKUP(E222,'Setup - Mix Design'!$A$5:$I$304,9,0)),"")</f>
        <v/>
      </c>
      <c r="H222" s="23">
        <f>IF(OR(F222="",G222=""),"",F222*G222)</f>
        <v/>
      </c>
      <c r="I222" s="23">
        <f>IF(B222="","",SUMIF('Dispatch (Challan)'!$C$5:$C$304,B222,'Dispatch (Challan)'!$F$5:$F$304))</f>
        <v/>
      </c>
      <c r="J222" s="23">
        <f>IF(F222="","",F222-I222)</f>
        <v/>
      </c>
      <c r="K222" s="23">
        <f>IF(F222="","",IF(I222=0,"Pending",IF(I222&gt;=F222,"Completed","Partial")))</f>
        <v/>
      </c>
    </row>
    <row r="223">
      <c r="A223" s="26" t="n"/>
      <c r="B223" s="21" t="n"/>
      <c r="C223" s="21" t="n"/>
      <c r="D223" s="21" t="n"/>
      <c r="E223" s="21" t="n"/>
      <c r="F223" s="22" t="n"/>
      <c r="G223" s="23">
        <f>IFERROR(IF(E223="","",VLOOKUP(E223,'Setup - Mix Design'!$A$5:$I$304,9,0)),"")</f>
        <v/>
      </c>
      <c r="H223" s="23">
        <f>IF(OR(F223="",G223=""),"",F223*G223)</f>
        <v/>
      </c>
      <c r="I223" s="23">
        <f>IF(B223="","",SUMIF('Dispatch (Challan)'!$C$5:$C$304,B223,'Dispatch (Challan)'!$F$5:$F$304))</f>
        <v/>
      </c>
      <c r="J223" s="23">
        <f>IF(F223="","",F223-I223)</f>
        <v/>
      </c>
      <c r="K223" s="23">
        <f>IF(F223="","",IF(I223=0,"Pending",IF(I223&gt;=F223,"Completed","Partial")))</f>
        <v/>
      </c>
    </row>
    <row r="224">
      <c r="A224" s="26" t="n"/>
      <c r="B224" s="21" t="n"/>
      <c r="C224" s="21" t="n"/>
      <c r="D224" s="21" t="n"/>
      <c r="E224" s="21" t="n"/>
      <c r="F224" s="22" t="n"/>
      <c r="G224" s="23">
        <f>IFERROR(IF(E224="","",VLOOKUP(E224,'Setup - Mix Design'!$A$5:$I$304,9,0)),"")</f>
        <v/>
      </c>
      <c r="H224" s="23">
        <f>IF(OR(F224="",G224=""),"",F224*G224)</f>
        <v/>
      </c>
      <c r="I224" s="23">
        <f>IF(B224="","",SUMIF('Dispatch (Challan)'!$C$5:$C$304,B224,'Dispatch (Challan)'!$F$5:$F$304))</f>
        <v/>
      </c>
      <c r="J224" s="23">
        <f>IF(F224="","",F224-I224)</f>
        <v/>
      </c>
      <c r="K224" s="23">
        <f>IF(F224="","",IF(I224=0,"Pending",IF(I224&gt;=F224,"Completed","Partial")))</f>
        <v/>
      </c>
    </row>
    <row r="225">
      <c r="A225" s="26" t="n"/>
      <c r="B225" s="21" t="n"/>
      <c r="C225" s="21" t="n"/>
      <c r="D225" s="21" t="n"/>
      <c r="E225" s="21" t="n"/>
      <c r="F225" s="22" t="n"/>
      <c r="G225" s="23">
        <f>IFERROR(IF(E225="","",VLOOKUP(E225,'Setup - Mix Design'!$A$5:$I$304,9,0)),"")</f>
        <v/>
      </c>
      <c r="H225" s="23">
        <f>IF(OR(F225="",G225=""),"",F225*G225)</f>
        <v/>
      </c>
      <c r="I225" s="23">
        <f>IF(B225="","",SUMIF('Dispatch (Challan)'!$C$5:$C$304,B225,'Dispatch (Challan)'!$F$5:$F$304))</f>
        <v/>
      </c>
      <c r="J225" s="23">
        <f>IF(F225="","",F225-I225)</f>
        <v/>
      </c>
      <c r="K225" s="23">
        <f>IF(F225="","",IF(I225=0,"Pending",IF(I225&gt;=F225,"Completed","Partial")))</f>
        <v/>
      </c>
    </row>
    <row r="226">
      <c r="A226" s="26" t="n"/>
      <c r="B226" s="21" t="n"/>
      <c r="C226" s="21" t="n"/>
      <c r="D226" s="21" t="n"/>
      <c r="E226" s="21" t="n"/>
      <c r="F226" s="22" t="n"/>
      <c r="G226" s="23">
        <f>IFERROR(IF(E226="","",VLOOKUP(E226,'Setup - Mix Design'!$A$5:$I$304,9,0)),"")</f>
        <v/>
      </c>
      <c r="H226" s="23">
        <f>IF(OR(F226="",G226=""),"",F226*G226)</f>
        <v/>
      </c>
      <c r="I226" s="23">
        <f>IF(B226="","",SUMIF('Dispatch (Challan)'!$C$5:$C$304,B226,'Dispatch (Challan)'!$F$5:$F$304))</f>
        <v/>
      </c>
      <c r="J226" s="23">
        <f>IF(F226="","",F226-I226)</f>
        <v/>
      </c>
      <c r="K226" s="23">
        <f>IF(F226="","",IF(I226=0,"Pending",IF(I226&gt;=F226,"Completed","Partial")))</f>
        <v/>
      </c>
    </row>
    <row r="227">
      <c r="A227" s="26" t="n"/>
      <c r="B227" s="21" t="n"/>
      <c r="C227" s="21" t="n"/>
      <c r="D227" s="21" t="n"/>
      <c r="E227" s="21" t="n"/>
      <c r="F227" s="22" t="n"/>
      <c r="G227" s="23">
        <f>IFERROR(IF(E227="","",VLOOKUP(E227,'Setup - Mix Design'!$A$5:$I$304,9,0)),"")</f>
        <v/>
      </c>
      <c r="H227" s="23">
        <f>IF(OR(F227="",G227=""),"",F227*G227)</f>
        <v/>
      </c>
      <c r="I227" s="23">
        <f>IF(B227="","",SUMIF('Dispatch (Challan)'!$C$5:$C$304,B227,'Dispatch (Challan)'!$F$5:$F$304))</f>
        <v/>
      </c>
      <c r="J227" s="23">
        <f>IF(F227="","",F227-I227)</f>
        <v/>
      </c>
      <c r="K227" s="23">
        <f>IF(F227="","",IF(I227=0,"Pending",IF(I227&gt;=F227,"Completed","Partial")))</f>
        <v/>
      </c>
    </row>
    <row r="228">
      <c r="A228" s="26" t="n"/>
      <c r="B228" s="21" t="n"/>
      <c r="C228" s="21" t="n"/>
      <c r="D228" s="21" t="n"/>
      <c r="E228" s="21" t="n"/>
      <c r="F228" s="22" t="n"/>
      <c r="G228" s="23">
        <f>IFERROR(IF(E228="","",VLOOKUP(E228,'Setup - Mix Design'!$A$5:$I$304,9,0)),"")</f>
        <v/>
      </c>
      <c r="H228" s="23">
        <f>IF(OR(F228="",G228=""),"",F228*G228)</f>
        <v/>
      </c>
      <c r="I228" s="23">
        <f>IF(B228="","",SUMIF('Dispatch (Challan)'!$C$5:$C$304,B228,'Dispatch (Challan)'!$F$5:$F$304))</f>
        <v/>
      </c>
      <c r="J228" s="23">
        <f>IF(F228="","",F228-I228)</f>
        <v/>
      </c>
      <c r="K228" s="23">
        <f>IF(F228="","",IF(I228=0,"Pending",IF(I228&gt;=F228,"Completed","Partial")))</f>
        <v/>
      </c>
    </row>
    <row r="229">
      <c r="A229" s="26" t="n"/>
      <c r="B229" s="21" t="n"/>
      <c r="C229" s="21" t="n"/>
      <c r="D229" s="21" t="n"/>
      <c r="E229" s="21" t="n"/>
      <c r="F229" s="22" t="n"/>
      <c r="G229" s="23">
        <f>IFERROR(IF(E229="","",VLOOKUP(E229,'Setup - Mix Design'!$A$5:$I$304,9,0)),"")</f>
        <v/>
      </c>
      <c r="H229" s="23">
        <f>IF(OR(F229="",G229=""),"",F229*G229)</f>
        <v/>
      </c>
      <c r="I229" s="23">
        <f>IF(B229="","",SUMIF('Dispatch (Challan)'!$C$5:$C$304,B229,'Dispatch (Challan)'!$F$5:$F$304))</f>
        <v/>
      </c>
      <c r="J229" s="23">
        <f>IF(F229="","",F229-I229)</f>
        <v/>
      </c>
      <c r="K229" s="23">
        <f>IF(F229="","",IF(I229=0,"Pending",IF(I229&gt;=F229,"Completed","Partial")))</f>
        <v/>
      </c>
    </row>
    <row r="230">
      <c r="A230" s="26" t="n"/>
      <c r="B230" s="21" t="n"/>
      <c r="C230" s="21" t="n"/>
      <c r="D230" s="21" t="n"/>
      <c r="E230" s="21" t="n"/>
      <c r="F230" s="22" t="n"/>
      <c r="G230" s="23">
        <f>IFERROR(IF(E230="","",VLOOKUP(E230,'Setup - Mix Design'!$A$5:$I$304,9,0)),"")</f>
        <v/>
      </c>
      <c r="H230" s="23">
        <f>IF(OR(F230="",G230=""),"",F230*G230)</f>
        <v/>
      </c>
      <c r="I230" s="23">
        <f>IF(B230="","",SUMIF('Dispatch (Challan)'!$C$5:$C$304,B230,'Dispatch (Challan)'!$F$5:$F$304))</f>
        <v/>
      </c>
      <c r="J230" s="23">
        <f>IF(F230="","",F230-I230)</f>
        <v/>
      </c>
      <c r="K230" s="23">
        <f>IF(F230="","",IF(I230=0,"Pending",IF(I230&gt;=F230,"Completed","Partial")))</f>
        <v/>
      </c>
    </row>
    <row r="231">
      <c r="A231" s="26" t="n"/>
      <c r="B231" s="21" t="n"/>
      <c r="C231" s="21" t="n"/>
      <c r="D231" s="21" t="n"/>
      <c r="E231" s="21" t="n"/>
      <c r="F231" s="22" t="n"/>
      <c r="G231" s="23">
        <f>IFERROR(IF(E231="","",VLOOKUP(E231,'Setup - Mix Design'!$A$5:$I$304,9,0)),"")</f>
        <v/>
      </c>
      <c r="H231" s="23">
        <f>IF(OR(F231="",G231=""),"",F231*G231)</f>
        <v/>
      </c>
      <c r="I231" s="23">
        <f>IF(B231="","",SUMIF('Dispatch (Challan)'!$C$5:$C$304,B231,'Dispatch (Challan)'!$F$5:$F$304))</f>
        <v/>
      </c>
      <c r="J231" s="23">
        <f>IF(F231="","",F231-I231)</f>
        <v/>
      </c>
      <c r="K231" s="23">
        <f>IF(F231="","",IF(I231=0,"Pending",IF(I231&gt;=F231,"Completed","Partial")))</f>
        <v/>
      </c>
    </row>
    <row r="232">
      <c r="A232" s="26" t="n"/>
      <c r="B232" s="21" t="n"/>
      <c r="C232" s="21" t="n"/>
      <c r="D232" s="21" t="n"/>
      <c r="E232" s="21" t="n"/>
      <c r="F232" s="22" t="n"/>
      <c r="G232" s="23">
        <f>IFERROR(IF(E232="","",VLOOKUP(E232,'Setup - Mix Design'!$A$5:$I$304,9,0)),"")</f>
        <v/>
      </c>
      <c r="H232" s="23">
        <f>IF(OR(F232="",G232=""),"",F232*G232)</f>
        <v/>
      </c>
      <c r="I232" s="23">
        <f>IF(B232="","",SUMIF('Dispatch (Challan)'!$C$5:$C$304,B232,'Dispatch (Challan)'!$F$5:$F$304))</f>
        <v/>
      </c>
      <c r="J232" s="23">
        <f>IF(F232="","",F232-I232)</f>
        <v/>
      </c>
      <c r="K232" s="23">
        <f>IF(F232="","",IF(I232=0,"Pending",IF(I232&gt;=F232,"Completed","Partial")))</f>
        <v/>
      </c>
    </row>
    <row r="233">
      <c r="A233" s="26" t="n"/>
      <c r="B233" s="21" t="n"/>
      <c r="C233" s="21" t="n"/>
      <c r="D233" s="21" t="n"/>
      <c r="E233" s="21" t="n"/>
      <c r="F233" s="22" t="n"/>
      <c r="G233" s="23">
        <f>IFERROR(IF(E233="","",VLOOKUP(E233,'Setup - Mix Design'!$A$5:$I$304,9,0)),"")</f>
        <v/>
      </c>
      <c r="H233" s="23">
        <f>IF(OR(F233="",G233=""),"",F233*G233)</f>
        <v/>
      </c>
      <c r="I233" s="23">
        <f>IF(B233="","",SUMIF('Dispatch (Challan)'!$C$5:$C$304,B233,'Dispatch (Challan)'!$F$5:$F$304))</f>
        <v/>
      </c>
      <c r="J233" s="23">
        <f>IF(F233="","",F233-I233)</f>
        <v/>
      </c>
      <c r="K233" s="23">
        <f>IF(F233="","",IF(I233=0,"Pending",IF(I233&gt;=F233,"Completed","Partial")))</f>
        <v/>
      </c>
    </row>
    <row r="234">
      <c r="A234" s="26" t="n"/>
      <c r="B234" s="21" t="n"/>
      <c r="C234" s="21" t="n"/>
      <c r="D234" s="21" t="n"/>
      <c r="E234" s="21" t="n"/>
      <c r="F234" s="22" t="n"/>
      <c r="G234" s="23">
        <f>IFERROR(IF(E234="","",VLOOKUP(E234,'Setup - Mix Design'!$A$5:$I$304,9,0)),"")</f>
        <v/>
      </c>
      <c r="H234" s="23">
        <f>IF(OR(F234="",G234=""),"",F234*G234)</f>
        <v/>
      </c>
      <c r="I234" s="23">
        <f>IF(B234="","",SUMIF('Dispatch (Challan)'!$C$5:$C$304,B234,'Dispatch (Challan)'!$F$5:$F$304))</f>
        <v/>
      </c>
      <c r="J234" s="23">
        <f>IF(F234="","",F234-I234)</f>
        <v/>
      </c>
      <c r="K234" s="23">
        <f>IF(F234="","",IF(I234=0,"Pending",IF(I234&gt;=F234,"Completed","Partial")))</f>
        <v/>
      </c>
    </row>
    <row r="235">
      <c r="A235" s="26" t="n"/>
      <c r="B235" s="21" t="n"/>
      <c r="C235" s="21" t="n"/>
      <c r="D235" s="21" t="n"/>
      <c r="E235" s="21" t="n"/>
      <c r="F235" s="22" t="n"/>
      <c r="G235" s="23">
        <f>IFERROR(IF(E235="","",VLOOKUP(E235,'Setup - Mix Design'!$A$5:$I$304,9,0)),"")</f>
        <v/>
      </c>
      <c r="H235" s="23">
        <f>IF(OR(F235="",G235=""),"",F235*G235)</f>
        <v/>
      </c>
      <c r="I235" s="23">
        <f>IF(B235="","",SUMIF('Dispatch (Challan)'!$C$5:$C$304,B235,'Dispatch (Challan)'!$F$5:$F$304))</f>
        <v/>
      </c>
      <c r="J235" s="23">
        <f>IF(F235="","",F235-I235)</f>
        <v/>
      </c>
      <c r="K235" s="23">
        <f>IF(F235="","",IF(I235=0,"Pending",IF(I235&gt;=F235,"Completed","Partial")))</f>
        <v/>
      </c>
    </row>
    <row r="236">
      <c r="A236" s="26" t="n"/>
      <c r="B236" s="21" t="n"/>
      <c r="C236" s="21" t="n"/>
      <c r="D236" s="21" t="n"/>
      <c r="E236" s="21" t="n"/>
      <c r="F236" s="22" t="n"/>
      <c r="G236" s="23">
        <f>IFERROR(IF(E236="","",VLOOKUP(E236,'Setup - Mix Design'!$A$5:$I$304,9,0)),"")</f>
        <v/>
      </c>
      <c r="H236" s="23">
        <f>IF(OR(F236="",G236=""),"",F236*G236)</f>
        <v/>
      </c>
      <c r="I236" s="23">
        <f>IF(B236="","",SUMIF('Dispatch (Challan)'!$C$5:$C$304,B236,'Dispatch (Challan)'!$F$5:$F$304))</f>
        <v/>
      </c>
      <c r="J236" s="23">
        <f>IF(F236="","",F236-I236)</f>
        <v/>
      </c>
      <c r="K236" s="23">
        <f>IF(F236="","",IF(I236=0,"Pending",IF(I236&gt;=F236,"Completed","Partial")))</f>
        <v/>
      </c>
    </row>
    <row r="237">
      <c r="A237" s="26" t="n"/>
      <c r="B237" s="21" t="n"/>
      <c r="C237" s="21" t="n"/>
      <c r="D237" s="21" t="n"/>
      <c r="E237" s="21" t="n"/>
      <c r="F237" s="22" t="n"/>
      <c r="G237" s="23">
        <f>IFERROR(IF(E237="","",VLOOKUP(E237,'Setup - Mix Design'!$A$5:$I$304,9,0)),"")</f>
        <v/>
      </c>
      <c r="H237" s="23">
        <f>IF(OR(F237="",G237=""),"",F237*G237)</f>
        <v/>
      </c>
      <c r="I237" s="23">
        <f>IF(B237="","",SUMIF('Dispatch (Challan)'!$C$5:$C$304,B237,'Dispatch (Challan)'!$F$5:$F$304))</f>
        <v/>
      </c>
      <c r="J237" s="23">
        <f>IF(F237="","",F237-I237)</f>
        <v/>
      </c>
      <c r="K237" s="23">
        <f>IF(F237="","",IF(I237=0,"Pending",IF(I237&gt;=F237,"Completed","Partial")))</f>
        <v/>
      </c>
    </row>
    <row r="238">
      <c r="A238" s="26" t="n"/>
      <c r="B238" s="21" t="n"/>
      <c r="C238" s="21" t="n"/>
      <c r="D238" s="21" t="n"/>
      <c r="E238" s="21" t="n"/>
      <c r="F238" s="22" t="n"/>
      <c r="G238" s="23">
        <f>IFERROR(IF(E238="","",VLOOKUP(E238,'Setup - Mix Design'!$A$5:$I$304,9,0)),"")</f>
        <v/>
      </c>
      <c r="H238" s="23">
        <f>IF(OR(F238="",G238=""),"",F238*G238)</f>
        <v/>
      </c>
      <c r="I238" s="23">
        <f>IF(B238="","",SUMIF('Dispatch (Challan)'!$C$5:$C$304,B238,'Dispatch (Challan)'!$F$5:$F$304))</f>
        <v/>
      </c>
      <c r="J238" s="23">
        <f>IF(F238="","",F238-I238)</f>
        <v/>
      </c>
      <c r="K238" s="23">
        <f>IF(F238="","",IF(I238=0,"Pending",IF(I238&gt;=F238,"Completed","Partial")))</f>
        <v/>
      </c>
    </row>
    <row r="239">
      <c r="A239" s="26" t="n"/>
      <c r="B239" s="21" t="n"/>
      <c r="C239" s="21" t="n"/>
      <c r="D239" s="21" t="n"/>
      <c r="E239" s="21" t="n"/>
      <c r="F239" s="22" t="n"/>
      <c r="G239" s="23">
        <f>IFERROR(IF(E239="","",VLOOKUP(E239,'Setup - Mix Design'!$A$5:$I$304,9,0)),"")</f>
        <v/>
      </c>
      <c r="H239" s="23">
        <f>IF(OR(F239="",G239=""),"",F239*G239)</f>
        <v/>
      </c>
      <c r="I239" s="23">
        <f>IF(B239="","",SUMIF('Dispatch (Challan)'!$C$5:$C$304,B239,'Dispatch (Challan)'!$F$5:$F$304))</f>
        <v/>
      </c>
      <c r="J239" s="23">
        <f>IF(F239="","",F239-I239)</f>
        <v/>
      </c>
      <c r="K239" s="23">
        <f>IF(F239="","",IF(I239=0,"Pending",IF(I239&gt;=F239,"Completed","Partial")))</f>
        <v/>
      </c>
    </row>
    <row r="240">
      <c r="A240" s="26" t="n"/>
      <c r="B240" s="21" t="n"/>
      <c r="C240" s="21" t="n"/>
      <c r="D240" s="21" t="n"/>
      <c r="E240" s="21" t="n"/>
      <c r="F240" s="22" t="n"/>
      <c r="G240" s="23">
        <f>IFERROR(IF(E240="","",VLOOKUP(E240,'Setup - Mix Design'!$A$5:$I$304,9,0)),"")</f>
        <v/>
      </c>
      <c r="H240" s="23">
        <f>IF(OR(F240="",G240=""),"",F240*G240)</f>
        <v/>
      </c>
      <c r="I240" s="23">
        <f>IF(B240="","",SUMIF('Dispatch (Challan)'!$C$5:$C$304,B240,'Dispatch (Challan)'!$F$5:$F$304))</f>
        <v/>
      </c>
      <c r="J240" s="23">
        <f>IF(F240="","",F240-I240)</f>
        <v/>
      </c>
      <c r="K240" s="23">
        <f>IF(F240="","",IF(I240=0,"Pending",IF(I240&gt;=F240,"Completed","Partial")))</f>
        <v/>
      </c>
    </row>
    <row r="241">
      <c r="A241" s="26" t="n"/>
      <c r="B241" s="21" t="n"/>
      <c r="C241" s="21" t="n"/>
      <c r="D241" s="21" t="n"/>
      <c r="E241" s="21" t="n"/>
      <c r="F241" s="22" t="n"/>
      <c r="G241" s="23">
        <f>IFERROR(IF(E241="","",VLOOKUP(E241,'Setup - Mix Design'!$A$5:$I$304,9,0)),"")</f>
        <v/>
      </c>
      <c r="H241" s="23">
        <f>IF(OR(F241="",G241=""),"",F241*G241)</f>
        <v/>
      </c>
      <c r="I241" s="23">
        <f>IF(B241="","",SUMIF('Dispatch (Challan)'!$C$5:$C$304,B241,'Dispatch (Challan)'!$F$5:$F$304))</f>
        <v/>
      </c>
      <c r="J241" s="23">
        <f>IF(F241="","",F241-I241)</f>
        <v/>
      </c>
      <c r="K241" s="23">
        <f>IF(F241="","",IF(I241=0,"Pending",IF(I241&gt;=F241,"Completed","Partial")))</f>
        <v/>
      </c>
    </row>
    <row r="242">
      <c r="A242" s="26" t="n"/>
      <c r="B242" s="21" t="n"/>
      <c r="C242" s="21" t="n"/>
      <c r="D242" s="21" t="n"/>
      <c r="E242" s="21" t="n"/>
      <c r="F242" s="22" t="n"/>
      <c r="G242" s="23">
        <f>IFERROR(IF(E242="","",VLOOKUP(E242,'Setup - Mix Design'!$A$5:$I$304,9,0)),"")</f>
        <v/>
      </c>
      <c r="H242" s="23">
        <f>IF(OR(F242="",G242=""),"",F242*G242)</f>
        <v/>
      </c>
      <c r="I242" s="23">
        <f>IF(B242="","",SUMIF('Dispatch (Challan)'!$C$5:$C$304,B242,'Dispatch (Challan)'!$F$5:$F$304))</f>
        <v/>
      </c>
      <c r="J242" s="23">
        <f>IF(F242="","",F242-I242)</f>
        <v/>
      </c>
      <c r="K242" s="23">
        <f>IF(F242="","",IF(I242=0,"Pending",IF(I242&gt;=F242,"Completed","Partial")))</f>
        <v/>
      </c>
    </row>
    <row r="243">
      <c r="A243" s="26" t="n"/>
      <c r="B243" s="21" t="n"/>
      <c r="C243" s="21" t="n"/>
      <c r="D243" s="21" t="n"/>
      <c r="E243" s="21" t="n"/>
      <c r="F243" s="22" t="n"/>
      <c r="G243" s="23">
        <f>IFERROR(IF(E243="","",VLOOKUP(E243,'Setup - Mix Design'!$A$5:$I$304,9,0)),"")</f>
        <v/>
      </c>
      <c r="H243" s="23">
        <f>IF(OR(F243="",G243=""),"",F243*G243)</f>
        <v/>
      </c>
      <c r="I243" s="23">
        <f>IF(B243="","",SUMIF('Dispatch (Challan)'!$C$5:$C$304,B243,'Dispatch (Challan)'!$F$5:$F$304))</f>
        <v/>
      </c>
      <c r="J243" s="23">
        <f>IF(F243="","",F243-I243)</f>
        <v/>
      </c>
      <c r="K243" s="23">
        <f>IF(F243="","",IF(I243=0,"Pending",IF(I243&gt;=F243,"Completed","Partial")))</f>
        <v/>
      </c>
    </row>
    <row r="244">
      <c r="A244" s="26" t="n"/>
      <c r="B244" s="21" t="n"/>
      <c r="C244" s="21" t="n"/>
      <c r="D244" s="21" t="n"/>
      <c r="E244" s="21" t="n"/>
      <c r="F244" s="22" t="n"/>
      <c r="G244" s="23">
        <f>IFERROR(IF(E244="","",VLOOKUP(E244,'Setup - Mix Design'!$A$5:$I$304,9,0)),"")</f>
        <v/>
      </c>
      <c r="H244" s="23">
        <f>IF(OR(F244="",G244=""),"",F244*G244)</f>
        <v/>
      </c>
      <c r="I244" s="23">
        <f>IF(B244="","",SUMIF('Dispatch (Challan)'!$C$5:$C$304,B244,'Dispatch (Challan)'!$F$5:$F$304))</f>
        <v/>
      </c>
      <c r="J244" s="23">
        <f>IF(F244="","",F244-I244)</f>
        <v/>
      </c>
      <c r="K244" s="23">
        <f>IF(F244="","",IF(I244=0,"Pending",IF(I244&gt;=F244,"Completed","Partial")))</f>
        <v/>
      </c>
    </row>
    <row r="245">
      <c r="A245" s="26" t="n"/>
      <c r="B245" s="21" t="n"/>
      <c r="C245" s="21" t="n"/>
      <c r="D245" s="21" t="n"/>
      <c r="E245" s="21" t="n"/>
      <c r="F245" s="22" t="n"/>
      <c r="G245" s="23">
        <f>IFERROR(IF(E245="","",VLOOKUP(E245,'Setup - Mix Design'!$A$5:$I$304,9,0)),"")</f>
        <v/>
      </c>
      <c r="H245" s="23">
        <f>IF(OR(F245="",G245=""),"",F245*G245)</f>
        <v/>
      </c>
      <c r="I245" s="23">
        <f>IF(B245="","",SUMIF('Dispatch (Challan)'!$C$5:$C$304,B245,'Dispatch (Challan)'!$F$5:$F$304))</f>
        <v/>
      </c>
      <c r="J245" s="23">
        <f>IF(F245="","",F245-I245)</f>
        <v/>
      </c>
      <c r="K245" s="23">
        <f>IF(F245="","",IF(I245=0,"Pending",IF(I245&gt;=F245,"Completed","Partial")))</f>
        <v/>
      </c>
    </row>
    <row r="246">
      <c r="A246" s="26" t="n"/>
      <c r="B246" s="21" t="n"/>
      <c r="C246" s="21" t="n"/>
      <c r="D246" s="21" t="n"/>
      <c r="E246" s="21" t="n"/>
      <c r="F246" s="22" t="n"/>
      <c r="G246" s="23">
        <f>IFERROR(IF(E246="","",VLOOKUP(E246,'Setup - Mix Design'!$A$5:$I$304,9,0)),"")</f>
        <v/>
      </c>
      <c r="H246" s="23">
        <f>IF(OR(F246="",G246=""),"",F246*G246)</f>
        <v/>
      </c>
      <c r="I246" s="23">
        <f>IF(B246="","",SUMIF('Dispatch (Challan)'!$C$5:$C$304,B246,'Dispatch (Challan)'!$F$5:$F$304))</f>
        <v/>
      </c>
      <c r="J246" s="23">
        <f>IF(F246="","",F246-I246)</f>
        <v/>
      </c>
      <c r="K246" s="23">
        <f>IF(F246="","",IF(I246=0,"Pending",IF(I246&gt;=F246,"Completed","Partial")))</f>
        <v/>
      </c>
    </row>
    <row r="247">
      <c r="A247" s="26" t="n"/>
      <c r="B247" s="21" t="n"/>
      <c r="C247" s="21" t="n"/>
      <c r="D247" s="21" t="n"/>
      <c r="E247" s="21" t="n"/>
      <c r="F247" s="22" t="n"/>
      <c r="G247" s="23">
        <f>IFERROR(IF(E247="","",VLOOKUP(E247,'Setup - Mix Design'!$A$5:$I$304,9,0)),"")</f>
        <v/>
      </c>
      <c r="H247" s="23">
        <f>IF(OR(F247="",G247=""),"",F247*G247)</f>
        <v/>
      </c>
      <c r="I247" s="23">
        <f>IF(B247="","",SUMIF('Dispatch (Challan)'!$C$5:$C$304,B247,'Dispatch (Challan)'!$F$5:$F$304))</f>
        <v/>
      </c>
      <c r="J247" s="23">
        <f>IF(F247="","",F247-I247)</f>
        <v/>
      </c>
      <c r="K247" s="23">
        <f>IF(F247="","",IF(I247=0,"Pending",IF(I247&gt;=F247,"Completed","Partial")))</f>
        <v/>
      </c>
    </row>
    <row r="248">
      <c r="A248" s="26" t="n"/>
      <c r="B248" s="21" t="n"/>
      <c r="C248" s="21" t="n"/>
      <c r="D248" s="21" t="n"/>
      <c r="E248" s="21" t="n"/>
      <c r="F248" s="22" t="n"/>
      <c r="G248" s="23">
        <f>IFERROR(IF(E248="","",VLOOKUP(E248,'Setup - Mix Design'!$A$5:$I$304,9,0)),"")</f>
        <v/>
      </c>
      <c r="H248" s="23">
        <f>IF(OR(F248="",G248=""),"",F248*G248)</f>
        <v/>
      </c>
      <c r="I248" s="23">
        <f>IF(B248="","",SUMIF('Dispatch (Challan)'!$C$5:$C$304,B248,'Dispatch (Challan)'!$F$5:$F$304))</f>
        <v/>
      </c>
      <c r="J248" s="23">
        <f>IF(F248="","",F248-I248)</f>
        <v/>
      </c>
      <c r="K248" s="23">
        <f>IF(F248="","",IF(I248=0,"Pending",IF(I248&gt;=F248,"Completed","Partial")))</f>
        <v/>
      </c>
    </row>
    <row r="249">
      <c r="A249" s="26" t="n"/>
      <c r="B249" s="21" t="n"/>
      <c r="C249" s="21" t="n"/>
      <c r="D249" s="21" t="n"/>
      <c r="E249" s="21" t="n"/>
      <c r="F249" s="22" t="n"/>
      <c r="G249" s="23">
        <f>IFERROR(IF(E249="","",VLOOKUP(E249,'Setup - Mix Design'!$A$5:$I$304,9,0)),"")</f>
        <v/>
      </c>
      <c r="H249" s="23">
        <f>IF(OR(F249="",G249=""),"",F249*G249)</f>
        <v/>
      </c>
      <c r="I249" s="23">
        <f>IF(B249="","",SUMIF('Dispatch (Challan)'!$C$5:$C$304,B249,'Dispatch (Challan)'!$F$5:$F$304))</f>
        <v/>
      </c>
      <c r="J249" s="23">
        <f>IF(F249="","",F249-I249)</f>
        <v/>
      </c>
      <c r="K249" s="23">
        <f>IF(F249="","",IF(I249=0,"Pending",IF(I249&gt;=F249,"Completed","Partial")))</f>
        <v/>
      </c>
    </row>
    <row r="250">
      <c r="A250" s="26" t="n"/>
      <c r="B250" s="21" t="n"/>
      <c r="C250" s="21" t="n"/>
      <c r="D250" s="21" t="n"/>
      <c r="E250" s="21" t="n"/>
      <c r="F250" s="22" t="n"/>
      <c r="G250" s="23">
        <f>IFERROR(IF(E250="","",VLOOKUP(E250,'Setup - Mix Design'!$A$5:$I$304,9,0)),"")</f>
        <v/>
      </c>
      <c r="H250" s="23">
        <f>IF(OR(F250="",G250=""),"",F250*G250)</f>
        <v/>
      </c>
      <c r="I250" s="23">
        <f>IF(B250="","",SUMIF('Dispatch (Challan)'!$C$5:$C$304,B250,'Dispatch (Challan)'!$F$5:$F$304))</f>
        <v/>
      </c>
      <c r="J250" s="23">
        <f>IF(F250="","",F250-I250)</f>
        <v/>
      </c>
      <c r="K250" s="23">
        <f>IF(F250="","",IF(I250=0,"Pending",IF(I250&gt;=F250,"Completed","Partial")))</f>
        <v/>
      </c>
    </row>
    <row r="251">
      <c r="A251" s="26" t="n"/>
      <c r="B251" s="21" t="n"/>
      <c r="C251" s="21" t="n"/>
      <c r="D251" s="21" t="n"/>
      <c r="E251" s="21" t="n"/>
      <c r="F251" s="22" t="n"/>
      <c r="G251" s="23">
        <f>IFERROR(IF(E251="","",VLOOKUP(E251,'Setup - Mix Design'!$A$5:$I$304,9,0)),"")</f>
        <v/>
      </c>
      <c r="H251" s="23">
        <f>IF(OR(F251="",G251=""),"",F251*G251)</f>
        <v/>
      </c>
      <c r="I251" s="23">
        <f>IF(B251="","",SUMIF('Dispatch (Challan)'!$C$5:$C$304,B251,'Dispatch (Challan)'!$F$5:$F$304))</f>
        <v/>
      </c>
      <c r="J251" s="23">
        <f>IF(F251="","",F251-I251)</f>
        <v/>
      </c>
      <c r="K251" s="23">
        <f>IF(F251="","",IF(I251=0,"Pending",IF(I251&gt;=F251,"Completed","Partial")))</f>
        <v/>
      </c>
    </row>
    <row r="252">
      <c r="A252" s="26" t="n"/>
      <c r="B252" s="21" t="n"/>
      <c r="C252" s="21" t="n"/>
      <c r="D252" s="21" t="n"/>
      <c r="E252" s="21" t="n"/>
      <c r="F252" s="22" t="n"/>
      <c r="G252" s="23">
        <f>IFERROR(IF(E252="","",VLOOKUP(E252,'Setup - Mix Design'!$A$5:$I$304,9,0)),"")</f>
        <v/>
      </c>
      <c r="H252" s="23">
        <f>IF(OR(F252="",G252=""),"",F252*G252)</f>
        <v/>
      </c>
      <c r="I252" s="23">
        <f>IF(B252="","",SUMIF('Dispatch (Challan)'!$C$5:$C$304,B252,'Dispatch (Challan)'!$F$5:$F$304))</f>
        <v/>
      </c>
      <c r="J252" s="23">
        <f>IF(F252="","",F252-I252)</f>
        <v/>
      </c>
      <c r="K252" s="23">
        <f>IF(F252="","",IF(I252=0,"Pending",IF(I252&gt;=F252,"Completed","Partial")))</f>
        <v/>
      </c>
    </row>
    <row r="253">
      <c r="A253" s="26" t="n"/>
      <c r="B253" s="21" t="n"/>
      <c r="C253" s="21" t="n"/>
      <c r="D253" s="21" t="n"/>
      <c r="E253" s="21" t="n"/>
      <c r="F253" s="22" t="n"/>
      <c r="G253" s="23">
        <f>IFERROR(IF(E253="","",VLOOKUP(E253,'Setup - Mix Design'!$A$5:$I$304,9,0)),"")</f>
        <v/>
      </c>
      <c r="H253" s="23">
        <f>IF(OR(F253="",G253=""),"",F253*G253)</f>
        <v/>
      </c>
      <c r="I253" s="23">
        <f>IF(B253="","",SUMIF('Dispatch (Challan)'!$C$5:$C$304,B253,'Dispatch (Challan)'!$F$5:$F$304))</f>
        <v/>
      </c>
      <c r="J253" s="23">
        <f>IF(F253="","",F253-I253)</f>
        <v/>
      </c>
      <c r="K253" s="23">
        <f>IF(F253="","",IF(I253=0,"Pending",IF(I253&gt;=F253,"Completed","Partial")))</f>
        <v/>
      </c>
    </row>
    <row r="254">
      <c r="A254" s="26" t="n"/>
      <c r="B254" s="21" t="n"/>
      <c r="C254" s="21" t="n"/>
      <c r="D254" s="21" t="n"/>
      <c r="E254" s="21" t="n"/>
      <c r="F254" s="22" t="n"/>
      <c r="G254" s="23">
        <f>IFERROR(IF(E254="","",VLOOKUP(E254,'Setup - Mix Design'!$A$5:$I$304,9,0)),"")</f>
        <v/>
      </c>
      <c r="H254" s="23">
        <f>IF(OR(F254="",G254=""),"",F254*G254)</f>
        <v/>
      </c>
      <c r="I254" s="23">
        <f>IF(B254="","",SUMIF('Dispatch (Challan)'!$C$5:$C$304,B254,'Dispatch (Challan)'!$F$5:$F$304))</f>
        <v/>
      </c>
      <c r="J254" s="23">
        <f>IF(F254="","",F254-I254)</f>
        <v/>
      </c>
      <c r="K254" s="23">
        <f>IF(F254="","",IF(I254=0,"Pending",IF(I254&gt;=F254,"Completed","Partial")))</f>
        <v/>
      </c>
    </row>
    <row r="255">
      <c r="A255" s="26" t="n"/>
      <c r="B255" s="21" t="n"/>
      <c r="C255" s="21" t="n"/>
      <c r="D255" s="21" t="n"/>
      <c r="E255" s="21" t="n"/>
      <c r="F255" s="22" t="n"/>
      <c r="G255" s="23">
        <f>IFERROR(IF(E255="","",VLOOKUP(E255,'Setup - Mix Design'!$A$5:$I$304,9,0)),"")</f>
        <v/>
      </c>
      <c r="H255" s="23">
        <f>IF(OR(F255="",G255=""),"",F255*G255)</f>
        <v/>
      </c>
      <c r="I255" s="23">
        <f>IF(B255="","",SUMIF('Dispatch (Challan)'!$C$5:$C$304,B255,'Dispatch (Challan)'!$F$5:$F$304))</f>
        <v/>
      </c>
      <c r="J255" s="23">
        <f>IF(F255="","",F255-I255)</f>
        <v/>
      </c>
      <c r="K255" s="23">
        <f>IF(F255="","",IF(I255=0,"Pending",IF(I255&gt;=F255,"Completed","Partial")))</f>
        <v/>
      </c>
    </row>
    <row r="256">
      <c r="A256" s="26" t="n"/>
      <c r="B256" s="21" t="n"/>
      <c r="C256" s="21" t="n"/>
      <c r="D256" s="21" t="n"/>
      <c r="E256" s="21" t="n"/>
      <c r="F256" s="22" t="n"/>
      <c r="G256" s="23">
        <f>IFERROR(IF(E256="","",VLOOKUP(E256,'Setup - Mix Design'!$A$5:$I$304,9,0)),"")</f>
        <v/>
      </c>
      <c r="H256" s="23">
        <f>IF(OR(F256="",G256=""),"",F256*G256)</f>
        <v/>
      </c>
      <c r="I256" s="23">
        <f>IF(B256="","",SUMIF('Dispatch (Challan)'!$C$5:$C$304,B256,'Dispatch (Challan)'!$F$5:$F$304))</f>
        <v/>
      </c>
      <c r="J256" s="23">
        <f>IF(F256="","",F256-I256)</f>
        <v/>
      </c>
      <c r="K256" s="23">
        <f>IF(F256="","",IF(I256=0,"Pending",IF(I256&gt;=F256,"Completed","Partial")))</f>
        <v/>
      </c>
    </row>
    <row r="257">
      <c r="A257" s="26" t="n"/>
      <c r="B257" s="21" t="n"/>
      <c r="C257" s="21" t="n"/>
      <c r="D257" s="21" t="n"/>
      <c r="E257" s="21" t="n"/>
      <c r="F257" s="22" t="n"/>
      <c r="G257" s="23">
        <f>IFERROR(IF(E257="","",VLOOKUP(E257,'Setup - Mix Design'!$A$5:$I$304,9,0)),"")</f>
        <v/>
      </c>
      <c r="H257" s="23">
        <f>IF(OR(F257="",G257=""),"",F257*G257)</f>
        <v/>
      </c>
      <c r="I257" s="23">
        <f>IF(B257="","",SUMIF('Dispatch (Challan)'!$C$5:$C$304,B257,'Dispatch (Challan)'!$F$5:$F$304))</f>
        <v/>
      </c>
      <c r="J257" s="23">
        <f>IF(F257="","",F257-I257)</f>
        <v/>
      </c>
      <c r="K257" s="23">
        <f>IF(F257="","",IF(I257=0,"Pending",IF(I257&gt;=F257,"Completed","Partial")))</f>
        <v/>
      </c>
    </row>
    <row r="258">
      <c r="A258" s="26" t="n"/>
      <c r="B258" s="21" t="n"/>
      <c r="C258" s="21" t="n"/>
      <c r="D258" s="21" t="n"/>
      <c r="E258" s="21" t="n"/>
      <c r="F258" s="22" t="n"/>
      <c r="G258" s="23">
        <f>IFERROR(IF(E258="","",VLOOKUP(E258,'Setup - Mix Design'!$A$5:$I$304,9,0)),"")</f>
        <v/>
      </c>
      <c r="H258" s="23">
        <f>IF(OR(F258="",G258=""),"",F258*G258)</f>
        <v/>
      </c>
      <c r="I258" s="23">
        <f>IF(B258="","",SUMIF('Dispatch (Challan)'!$C$5:$C$304,B258,'Dispatch (Challan)'!$F$5:$F$304))</f>
        <v/>
      </c>
      <c r="J258" s="23">
        <f>IF(F258="","",F258-I258)</f>
        <v/>
      </c>
      <c r="K258" s="23">
        <f>IF(F258="","",IF(I258=0,"Pending",IF(I258&gt;=F258,"Completed","Partial")))</f>
        <v/>
      </c>
    </row>
    <row r="259">
      <c r="A259" s="26" t="n"/>
      <c r="B259" s="21" t="n"/>
      <c r="C259" s="21" t="n"/>
      <c r="D259" s="21" t="n"/>
      <c r="E259" s="21" t="n"/>
      <c r="F259" s="22" t="n"/>
      <c r="G259" s="23">
        <f>IFERROR(IF(E259="","",VLOOKUP(E259,'Setup - Mix Design'!$A$5:$I$304,9,0)),"")</f>
        <v/>
      </c>
      <c r="H259" s="23">
        <f>IF(OR(F259="",G259=""),"",F259*G259)</f>
        <v/>
      </c>
      <c r="I259" s="23">
        <f>IF(B259="","",SUMIF('Dispatch (Challan)'!$C$5:$C$304,B259,'Dispatch (Challan)'!$F$5:$F$304))</f>
        <v/>
      </c>
      <c r="J259" s="23">
        <f>IF(F259="","",F259-I259)</f>
        <v/>
      </c>
      <c r="K259" s="23">
        <f>IF(F259="","",IF(I259=0,"Pending",IF(I259&gt;=F259,"Completed","Partial")))</f>
        <v/>
      </c>
    </row>
    <row r="260">
      <c r="A260" s="26" t="n"/>
      <c r="B260" s="21" t="n"/>
      <c r="C260" s="21" t="n"/>
      <c r="D260" s="21" t="n"/>
      <c r="E260" s="21" t="n"/>
      <c r="F260" s="22" t="n"/>
      <c r="G260" s="23">
        <f>IFERROR(IF(E260="","",VLOOKUP(E260,'Setup - Mix Design'!$A$5:$I$304,9,0)),"")</f>
        <v/>
      </c>
      <c r="H260" s="23">
        <f>IF(OR(F260="",G260=""),"",F260*G260)</f>
        <v/>
      </c>
      <c r="I260" s="23">
        <f>IF(B260="","",SUMIF('Dispatch (Challan)'!$C$5:$C$304,B260,'Dispatch (Challan)'!$F$5:$F$304))</f>
        <v/>
      </c>
      <c r="J260" s="23">
        <f>IF(F260="","",F260-I260)</f>
        <v/>
      </c>
      <c r="K260" s="23">
        <f>IF(F260="","",IF(I260=0,"Pending",IF(I260&gt;=F260,"Completed","Partial")))</f>
        <v/>
      </c>
    </row>
    <row r="261">
      <c r="A261" s="26" t="n"/>
      <c r="B261" s="21" t="n"/>
      <c r="C261" s="21" t="n"/>
      <c r="D261" s="21" t="n"/>
      <c r="E261" s="21" t="n"/>
      <c r="F261" s="22" t="n"/>
      <c r="G261" s="23">
        <f>IFERROR(IF(E261="","",VLOOKUP(E261,'Setup - Mix Design'!$A$5:$I$304,9,0)),"")</f>
        <v/>
      </c>
      <c r="H261" s="23">
        <f>IF(OR(F261="",G261=""),"",F261*G261)</f>
        <v/>
      </c>
      <c r="I261" s="23">
        <f>IF(B261="","",SUMIF('Dispatch (Challan)'!$C$5:$C$304,B261,'Dispatch (Challan)'!$F$5:$F$304))</f>
        <v/>
      </c>
      <c r="J261" s="23">
        <f>IF(F261="","",F261-I261)</f>
        <v/>
      </c>
      <c r="K261" s="23">
        <f>IF(F261="","",IF(I261=0,"Pending",IF(I261&gt;=F261,"Completed","Partial")))</f>
        <v/>
      </c>
    </row>
    <row r="262">
      <c r="A262" s="26" t="n"/>
      <c r="B262" s="21" t="n"/>
      <c r="C262" s="21" t="n"/>
      <c r="D262" s="21" t="n"/>
      <c r="E262" s="21" t="n"/>
      <c r="F262" s="22" t="n"/>
      <c r="G262" s="23">
        <f>IFERROR(IF(E262="","",VLOOKUP(E262,'Setup - Mix Design'!$A$5:$I$304,9,0)),"")</f>
        <v/>
      </c>
      <c r="H262" s="23">
        <f>IF(OR(F262="",G262=""),"",F262*G262)</f>
        <v/>
      </c>
      <c r="I262" s="23">
        <f>IF(B262="","",SUMIF('Dispatch (Challan)'!$C$5:$C$304,B262,'Dispatch (Challan)'!$F$5:$F$304))</f>
        <v/>
      </c>
      <c r="J262" s="23">
        <f>IF(F262="","",F262-I262)</f>
        <v/>
      </c>
      <c r="K262" s="23">
        <f>IF(F262="","",IF(I262=0,"Pending",IF(I262&gt;=F262,"Completed","Partial")))</f>
        <v/>
      </c>
    </row>
    <row r="263">
      <c r="A263" s="26" t="n"/>
      <c r="B263" s="21" t="n"/>
      <c r="C263" s="21" t="n"/>
      <c r="D263" s="21" t="n"/>
      <c r="E263" s="21" t="n"/>
      <c r="F263" s="22" t="n"/>
      <c r="G263" s="23">
        <f>IFERROR(IF(E263="","",VLOOKUP(E263,'Setup - Mix Design'!$A$5:$I$304,9,0)),"")</f>
        <v/>
      </c>
      <c r="H263" s="23">
        <f>IF(OR(F263="",G263=""),"",F263*G263)</f>
        <v/>
      </c>
      <c r="I263" s="23">
        <f>IF(B263="","",SUMIF('Dispatch (Challan)'!$C$5:$C$304,B263,'Dispatch (Challan)'!$F$5:$F$304))</f>
        <v/>
      </c>
      <c r="J263" s="23">
        <f>IF(F263="","",F263-I263)</f>
        <v/>
      </c>
      <c r="K263" s="23">
        <f>IF(F263="","",IF(I263=0,"Pending",IF(I263&gt;=F263,"Completed","Partial")))</f>
        <v/>
      </c>
    </row>
    <row r="264">
      <c r="A264" s="26" t="n"/>
      <c r="B264" s="21" t="n"/>
      <c r="C264" s="21" t="n"/>
      <c r="D264" s="21" t="n"/>
      <c r="E264" s="21" t="n"/>
      <c r="F264" s="22" t="n"/>
      <c r="G264" s="23">
        <f>IFERROR(IF(E264="","",VLOOKUP(E264,'Setup - Mix Design'!$A$5:$I$304,9,0)),"")</f>
        <v/>
      </c>
      <c r="H264" s="23">
        <f>IF(OR(F264="",G264=""),"",F264*G264)</f>
        <v/>
      </c>
      <c r="I264" s="23">
        <f>IF(B264="","",SUMIF('Dispatch (Challan)'!$C$5:$C$304,B264,'Dispatch (Challan)'!$F$5:$F$304))</f>
        <v/>
      </c>
      <c r="J264" s="23">
        <f>IF(F264="","",F264-I264)</f>
        <v/>
      </c>
      <c r="K264" s="23">
        <f>IF(F264="","",IF(I264=0,"Pending",IF(I264&gt;=F264,"Completed","Partial")))</f>
        <v/>
      </c>
    </row>
    <row r="265">
      <c r="A265" s="26" t="n"/>
      <c r="B265" s="21" t="n"/>
      <c r="C265" s="21" t="n"/>
      <c r="D265" s="21" t="n"/>
      <c r="E265" s="21" t="n"/>
      <c r="F265" s="22" t="n"/>
      <c r="G265" s="23">
        <f>IFERROR(IF(E265="","",VLOOKUP(E265,'Setup - Mix Design'!$A$5:$I$304,9,0)),"")</f>
        <v/>
      </c>
      <c r="H265" s="23">
        <f>IF(OR(F265="",G265=""),"",F265*G265)</f>
        <v/>
      </c>
      <c r="I265" s="23">
        <f>IF(B265="","",SUMIF('Dispatch (Challan)'!$C$5:$C$304,B265,'Dispatch (Challan)'!$F$5:$F$304))</f>
        <v/>
      </c>
      <c r="J265" s="23">
        <f>IF(F265="","",F265-I265)</f>
        <v/>
      </c>
      <c r="K265" s="23">
        <f>IF(F265="","",IF(I265=0,"Pending",IF(I265&gt;=F265,"Completed","Partial")))</f>
        <v/>
      </c>
    </row>
    <row r="266">
      <c r="A266" s="26" t="n"/>
      <c r="B266" s="21" t="n"/>
      <c r="C266" s="21" t="n"/>
      <c r="D266" s="21" t="n"/>
      <c r="E266" s="21" t="n"/>
      <c r="F266" s="22" t="n"/>
      <c r="G266" s="23">
        <f>IFERROR(IF(E266="","",VLOOKUP(E266,'Setup - Mix Design'!$A$5:$I$304,9,0)),"")</f>
        <v/>
      </c>
      <c r="H266" s="23">
        <f>IF(OR(F266="",G266=""),"",F266*G266)</f>
        <v/>
      </c>
      <c r="I266" s="23">
        <f>IF(B266="","",SUMIF('Dispatch (Challan)'!$C$5:$C$304,B266,'Dispatch (Challan)'!$F$5:$F$304))</f>
        <v/>
      </c>
      <c r="J266" s="23">
        <f>IF(F266="","",F266-I266)</f>
        <v/>
      </c>
      <c r="K266" s="23">
        <f>IF(F266="","",IF(I266=0,"Pending",IF(I266&gt;=F266,"Completed","Partial")))</f>
        <v/>
      </c>
    </row>
    <row r="267">
      <c r="A267" s="26" t="n"/>
      <c r="B267" s="21" t="n"/>
      <c r="C267" s="21" t="n"/>
      <c r="D267" s="21" t="n"/>
      <c r="E267" s="21" t="n"/>
      <c r="F267" s="22" t="n"/>
      <c r="G267" s="23">
        <f>IFERROR(IF(E267="","",VLOOKUP(E267,'Setup - Mix Design'!$A$5:$I$304,9,0)),"")</f>
        <v/>
      </c>
      <c r="H267" s="23">
        <f>IF(OR(F267="",G267=""),"",F267*G267)</f>
        <v/>
      </c>
      <c r="I267" s="23">
        <f>IF(B267="","",SUMIF('Dispatch (Challan)'!$C$5:$C$304,B267,'Dispatch (Challan)'!$F$5:$F$304))</f>
        <v/>
      </c>
      <c r="J267" s="23">
        <f>IF(F267="","",F267-I267)</f>
        <v/>
      </c>
      <c r="K267" s="23">
        <f>IF(F267="","",IF(I267=0,"Pending",IF(I267&gt;=F267,"Completed","Partial")))</f>
        <v/>
      </c>
    </row>
    <row r="268">
      <c r="A268" s="26" t="n"/>
      <c r="B268" s="21" t="n"/>
      <c r="C268" s="21" t="n"/>
      <c r="D268" s="21" t="n"/>
      <c r="E268" s="21" t="n"/>
      <c r="F268" s="22" t="n"/>
      <c r="G268" s="23">
        <f>IFERROR(IF(E268="","",VLOOKUP(E268,'Setup - Mix Design'!$A$5:$I$304,9,0)),"")</f>
        <v/>
      </c>
      <c r="H268" s="23">
        <f>IF(OR(F268="",G268=""),"",F268*G268)</f>
        <v/>
      </c>
      <c r="I268" s="23">
        <f>IF(B268="","",SUMIF('Dispatch (Challan)'!$C$5:$C$304,B268,'Dispatch (Challan)'!$F$5:$F$304))</f>
        <v/>
      </c>
      <c r="J268" s="23">
        <f>IF(F268="","",F268-I268)</f>
        <v/>
      </c>
      <c r="K268" s="23">
        <f>IF(F268="","",IF(I268=0,"Pending",IF(I268&gt;=F268,"Completed","Partial")))</f>
        <v/>
      </c>
    </row>
    <row r="269">
      <c r="A269" s="26" t="n"/>
      <c r="B269" s="21" t="n"/>
      <c r="C269" s="21" t="n"/>
      <c r="D269" s="21" t="n"/>
      <c r="E269" s="21" t="n"/>
      <c r="F269" s="22" t="n"/>
      <c r="G269" s="23">
        <f>IFERROR(IF(E269="","",VLOOKUP(E269,'Setup - Mix Design'!$A$5:$I$304,9,0)),"")</f>
        <v/>
      </c>
      <c r="H269" s="23">
        <f>IF(OR(F269="",G269=""),"",F269*G269)</f>
        <v/>
      </c>
      <c r="I269" s="23">
        <f>IF(B269="","",SUMIF('Dispatch (Challan)'!$C$5:$C$304,B269,'Dispatch (Challan)'!$F$5:$F$304))</f>
        <v/>
      </c>
      <c r="J269" s="23">
        <f>IF(F269="","",F269-I269)</f>
        <v/>
      </c>
      <c r="K269" s="23">
        <f>IF(F269="","",IF(I269=0,"Pending",IF(I269&gt;=F269,"Completed","Partial")))</f>
        <v/>
      </c>
    </row>
    <row r="270">
      <c r="A270" s="26" t="n"/>
      <c r="B270" s="21" t="n"/>
      <c r="C270" s="21" t="n"/>
      <c r="D270" s="21" t="n"/>
      <c r="E270" s="21" t="n"/>
      <c r="F270" s="22" t="n"/>
      <c r="G270" s="23">
        <f>IFERROR(IF(E270="","",VLOOKUP(E270,'Setup - Mix Design'!$A$5:$I$304,9,0)),"")</f>
        <v/>
      </c>
      <c r="H270" s="23">
        <f>IF(OR(F270="",G270=""),"",F270*G270)</f>
        <v/>
      </c>
      <c r="I270" s="23">
        <f>IF(B270="","",SUMIF('Dispatch (Challan)'!$C$5:$C$304,B270,'Dispatch (Challan)'!$F$5:$F$304))</f>
        <v/>
      </c>
      <c r="J270" s="23">
        <f>IF(F270="","",F270-I270)</f>
        <v/>
      </c>
      <c r="K270" s="23">
        <f>IF(F270="","",IF(I270=0,"Pending",IF(I270&gt;=F270,"Completed","Partial")))</f>
        <v/>
      </c>
    </row>
    <row r="271">
      <c r="A271" s="26" t="n"/>
      <c r="B271" s="21" t="n"/>
      <c r="C271" s="21" t="n"/>
      <c r="D271" s="21" t="n"/>
      <c r="E271" s="21" t="n"/>
      <c r="F271" s="22" t="n"/>
      <c r="G271" s="23">
        <f>IFERROR(IF(E271="","",VLOOKUP(E271,'Setup - Mix Design'!$A$5:$I$304,9,0)),"")</f>
        <v/>
      </c>
      <c r="H271" s="23">
        <f>IF(OR(F271="",G271=""),"",F271*G271)</f>
        <v/>
      </c>
      <c r="I271" s="23">
        <f>IF(B271="","",SUMIF('Dispatch (Challan)'!$C$5:$C$304,B271,'Dispatch (Challan)'!$F$5:$F$304))</f>
        <v/>
      </c>
      <c r="J271" s="23">
        <f>IF(F271="","",F271-I271)</f>
        <v/>
      </c>
      <c r="K271" s="23">
        <f>IF(F271="","",IF(I271=0,"Pending",IF(I271&gt;=F271,"Completed","Partial")))</f>
        <v/>
      </c>
    </row>
    <row r="272">
      <c r="A272" s="26" t="n"/>
      <c r="B272" s="21" t="n"/>
      <c r="C272" s="21" t="n"/>
      <c r="D272" s="21" t="n"/>
      <c r="E272" s="21" t="n"/>
      <c r="F272" s="22" t="n"/>
      <c r="G272" s="23">
        <f>IFERROR(IF(E272="","",VLOOKUP(E272,'Setup - Mix Design'!$A$5:$I$304,9,0)),"")</f>
        <v/>
      </c>
      <c r="H272" s="23">
        <f>IF(OR(F272="",G272=""),"",F272*G272)</f>
        <v/>
      </c>
      <c r="I272" s="23">
        <f>IF(B272="","",SUMIF('Dispatch (Challan)'!$C$5:$C$304,B272,'Dispatch (Challan)'!$F$5:$F$304))</f>
        <v/>
      </c>
      <c r="J272" s="23">
        <f>IF(F272="","",F272-I272)</f>
        <v/>
      </c>
      <c r="K272" s="23">
        <f>IF(F272="","",IF(I272=0,"Pending",IF(I272&gt;=F272,"Completed","Partial")))</f>
        <v/>
      </c>
    </row>
    <row r="273">
      <c r="A273" s="26" t="n"/>
      <c r="B273" s="21" t="n"/>
      <c r="C273" s="21" t="n"/>
      <c r="D273" s="21" t="n"/>
      <c r="E273" s="21" t="n"/>
      <c r="F273" s="22" t="n"/>
      <c r="G273" s="23">
        <f>IFERROR(IF(E273="","",VLOOKUP(E273,'Setup - Mix Design'!$A$5:$I$304,9,0)),"")</f>
        <v/>
      </c>
      <c r="H273" s="23">
        <f>IF(OR(F273="",G273=""),"",F273*G273)</f>
        <v/>
      </c>
      <c r="I273" s="23">
        <f>IF(B273="","",SUMIF('Dispatch (Challan)'!$C$5:$C$304,B273,'Dispatch (Challan)'!$F$5:$F$304))</f>
        <v/>
      </c>
      <c r="J273" s="23">
        <f>IF(F273="","",F273-I273)</f>
        <v/>
      </c>
      <c r="K273" s="23">
        <f>IF(F273="","",IF(I273=0,"Pending",IF(I273&gt;=F273,"Completed","Partial")))</f>
        <v/>
      </c>
    </row>
    <row r="274">
      <c r="A274" s="26" t="n"/>
      <c r="B274" s="21" t="n"/>
      <c r="C274" s="21" t="n"/>
      <c r="D274" s="21" t="n"/>
      <c r="E274" s="21" t="n"/>
      <c r="F274" s="22" t="n"/>
      <c r="G274" s="23">
        <f>IFERROR(IF(E274="","",VLOOKUP(E274,'Setup - Mix Design'!$A$5:$I$304,9,0)),"")</f>
        <v/>
      </c>
      <c r="H274" s="23">
        <f>IF(OR(F274="",G274=""),"",F274*G274)</f>
        <v/>
      </c>
      <c r="I274" s="23">
        <f>IF(B274="","",SUMIF('Dispatch (Challan)'!$C$5:$C$304,B274,'Dispatch (Challan)'!$F$5:$F$304))</f>
        <v/>
      </c>
      <c r="J274" s="23">
        <f>IF(F274="","",F274-I274)</f>
        <v/>
      </c>
      <c r="K274" s="23">
        <f>IF(F274="","",IF(I274=0,"Pending",IF(I274&gt;=F274,"Completed","Partial")))</f>
        <v/>
      </c>
    </row>
    <row r="275">
      <c r="A275" s="26" t="n"/>
      <c r="B275" s="21" t="n"/>
      <c r="C275" s="21" t="n"/>
      <c r="D275" s="21" t="n"/>
      <c r="E275" s="21" t="n"/>
      <c r="F275" s="22" t="n"/>
      <c r="G275" s="23">
        <f>IFERROR(IF(E275="","",VLOOKUP(E275,'Setup - Mix Design'!$A$5:$I$304,9,0)),"")</f>
        <v/>
      </c>
      <c r="H275" s="23">
        <f>IF(OR(F275="",G275=""),"",F275*G275)</f>
        <v/>
      </c>
      <c r="I275" s="23">
        <f>IF(B275="","",SUMIF('Dispatch (Challan)'!$C$5:$C$304,B275,'Dispatch (Challan)'!$F$5:$F$304))</f>
        <v/>
      </c>
      <c r="J275" s="23">
        <f>IF(F275="","",F275-I275)</f>
        <v/>
      </c>
      <c r="K275" s="23">
        <f>IF(F275="","",IF(I275=0,"Pending",IF(I275&gt;=F275,"Completed","Partial")))</f>
        <v/>
      </c>
    </row>
    <row r="276">
      <c r="A276" s="26" t="n"/>
      <c r="B276" s="21" t="n"/>
      <c r="C276" s="21" t="n"/>
      <c r="D276" s="21" t="n"/>
      <c r="E276" s="21" t="n"/>
      <c r="F276" s="22" t="n"/>
      <c r="G276" s="23">
        <f>IFERROR(IF(E276="","",VLOOKUP(E276,'Setup - Mix Design'!$A$5:$I$304,9,0)),"")</f>
        <v/>
      </c>
      <c r="H276" s="23">
        <f>IF(OR(F276="",G276=""),"",F276*G276)</f>
        <v/>
      </c>
      <c r="I276" s="23">
        <f>IF(B276="","",SUMIF('Dispatch (Challan)'!$C$5:$C$304,B276,'Dispatch (Challan)'!$F$5:$F$304))</f>
        <v/>
      </c>
      <c r="J276" s="23">
        <f>IF(F276="","",F276-I276)</f>
        <v/>
      </c>
      <c r="K276" s="23">
        <f>IF(F276="","",IF(I276=0,"Pending",IF(I276&gt;=F276,"Completed","Partial")))</f>
        <v/>
      </c>
    </row>
    <row r="277">
      <c r="A277" s="26" t="n"/>
      <c r="B277" s="21" t="n"/>
      <c r="C277" s="21" t="n"/>
      <c r="D277" s="21" t="n"/>
      <c r="E277" s="21" t="n"/>
      <c r="F277" s="22" t="n"/>
      <c r="G277" s="23">
        <f>IFERROR(IF(E277="","",VLOOKUP(E277,'Setup - Mix Design'!$A$5:$I$304,9,0)),"")</f>
        <v/>
      </c>
      <c r="H277" s="23">
        <f>IF(OR(F277="",G277=""),"",F277*G277)</f>
        <v/>
      </c>
      <c r="I277" s="23">
        <f>IF(B277="","",SUMIF('Dispatch (Challan)'!$C$5:$C$304,B277,'Dispatch (Challan)'!$F$5:$F$304))</f>
        <v/>
      </c>
      <c r="J277" s="23">
        <f>IF(F277="","",F277-I277)</f>
        <v/>
      </c>
      <c r="K277" s="23">
        <f>IF(F277="","",IF(I277=0,"Pending",IF(I277&gt;=F277,"Completed","Partial")))</f>
        <v/>
      </c>
    </row>
    <row r="278">
      <c r="A278" s="26" t="n"/>
      <c r="B278" s="21" t="n"/>
      <c r="C278" s="21" t="n"/>
      <c r="D278" s="21" t="n"/>
      <c r="E278" s="21" t="n"/>
      <c r="F278" s="22" t="n"/>
      <c r="G278" s="23">
        <f>IFERROR(IF(E278="","",VLOOKUP(E278,'Setup - Mix Design'!$A$5:$I$304,9,0)),"")</f>
        <v/>
      </c>
      <c r="H278" s="23">
        <f>IF(OR(F278="",G278=""),"",F278*G278)</f>
        <v/>
      </c>
      <c r="I278" s="23">
        <f>IF(B278="","",SUMIF('Dispatch (Challan)'!$C$5:$C$304,B278,'Dispatch (Challan)'!$F$5:$F$304))</f>
        <v/>
      </c>
      <c r="J278" s="23">
        <f>IF(F278="","",F278-I278)</f>
        <v/>
      </c>
      <c r="K278" s="23">
        <f>IF(F278="","",IF(I278=0,"Pending",IF(I278&gt;=F278,"Completed","Partial")))</f>
        <v/>
      </c>
    </row>
    <row r="279">
      <c r="A279" s="26" t="n"/>
      <c r="B279" s="21" t="n"/>
      <c r="C279" s="21" t="n"/>
      <c r="D279" s="21" t="n"/>
      <c r="E279" s="21" t="n"/>
      <c r="F279" s="22" t="n"/>
      <c r="G279" s="23">
        <f>IFERROR(IF(E279="","",VLOOKUP(E279,'Setup - Mix Design'!$A$5:$I$304,9,0)),"")</f>
        <v/>
      </c>
      <c r="H279" s="23">
        <f>IF(OR(F279="",G279=""),"",F279*G279)</f>
        <v/>
      </c>
      <c r="I279" s="23">
        <f>IF(B279="","",SUMIF('Dispatch (Challan)'!$C$5:$C$304,B279,'Dispatch (Challan)'!$F$5:$F$304))</f>
        <v/>
      </c>
      <c r="J279" s="23">
        <f>IF(F279="","",F279-I279)</f>
        <v/>
      </c>
      <c r="K279" s="23">
        <f>IF(F279="","",IF(I279=0,"Pending",IF(I279&gt;=F279,"Completed","Partial")))</f>
        <v/>
      </c>
    </row>
    <row r="280">
      <c r="A280" s="26" t="n"/>
      <c r="B280" s="21" t="n"/>
      <c r="C280" s="21" t="n"/>
      <c r="D280" s="21" t="n"/>
      <c r="E280" s="21" t="n"/>
      <c r="F280" s="22" t="n"/>
      <c r="G280" s="23">
        <f>IFERROR(IF(E280="","",VLOOKUP(E280,'Setup - Mix Design'!$A$5:$I$304,9,0)),"")</f>
        <v/>
      </c>
      <c r="H280" s="23">
        <f>IF(OR(F280="",G280=""),"",F280*G280)</f>
        <v/>
      </c>
      <c r="I280" s="23">
        <f>IF(B280="","",SUMIF('Dispatch (Challan)'!$C$5:$C$304,B280,'Dispatch (Challan)'!$F$5:$F$304))</f>
        <v/>
      </c>
      <c r="J280" s="23">
        <f>IF(F280="","",F280-I280)</f>
        <v/>
      </c>
      <c r="K280" s="23">
        <f>IF(F280="","",IF(I280=0,"Pending",IF(I280&gt;=F280,"Completed","Partial")))</f>
        <v/>
      </c>
    </row>
    <row r="281">
      <c r="A281" s="26" t="n"/>
      <c r="B281" s="21" t="n"/>
      <c r="C281" s="21" t="n"/>
      <c r="D281" s="21" t="n"/>
      <c r="E281" s="21" t="n"/>
      <c r="F281" s="22" t="n"/>
      <c r="G281" s="23">
        <f>IFERROR(IF(E281="","",VLOOKUP(E281,'Setup - Mix Design'!$A$5:$I$304,9,0)),"")</f>
        <v/>
      </c>
      <c r="H281" s="23">
        <f>IF(OR(F281="",G281=""),"",F281*G281)</f>
        <v/>
      </c>
      <c r="I281" s="23">
        <f>IF(B281="","",SUMIF('Dispatch (Challan)'!$C$5:$C$304,B281,'Dispatch (Challan)'!$F$5:$F$304))</f>
        <v/>
      </c>
      <c r="J281" s="23">
        <f>IF(F281="","",F281-I281)</f>
        <v/>
      </c>
      <c r="K281" s="23">
        <f>IF(F281="","",IF(I281=0,"Pending",IF(I281&gt;=F281,"Completed","Partial")))</f>
        <v/>
      </c>
    </row>
    <row r="282">
      <c r="A282" s="26" t="n"/>
      <c r="B282" s="21" t="n"/>
      <c r="C282" s="21" t="n"/>
      <c r="D282" s="21" t="n"/>
      <c r="E282" s="21" t="n"/>
      <c r="F282" s="22" t="n"/>
      <c r="G282" s="23">
        <f>IFERROR(IF(E282="","",VLOOKUP(E282,'Setup - Mix Design'!$A$5:$I$304,9,0)),"")</f>
        <v/>
      </c>
      <c r="H282" s="23">
        <f>IF(OR(F282="",G282=""),"",F282*G282)</f>
        <v/>
      </c>
      <c r="I282" s="23">
        <f>IF(B282="","",SUMIF('Dispatch (Challan)'!$C$5:$C$304,B282,'Dispatch (Challan)'!$F$5:$F$304))</f>
        <v/>
      </c>
      <c r="J282" s="23">
        <f>IF(F282="","",F282-I282)</f>
        <v/>
      </c>
      <c r="K282" s="23">
        <f>IF(F282="","",IF(I282=0,"Pending",IF(I282&gt;=F282,"Completed","Partial")))</f>
        <v/>
      </c>
    </row>
    <row r="283">
      <c r="A283" s="26" t="n"/>
      <c r="B283" s="21" t="n"/>
      <c r="C283" s="21" t="n"/>
      <c r="D283" s="21" t="n"/>
      <c r="E283" s="21" t="n"/>
      <c r="F283" s="22" t="n"/>
      <c r="G283" s="23">
        <f>IFERROR(IF(E283="","",VLOOKUP(E283,'Setup - Mix Design'!$A$5:$I$304,9,0)),"")</f>
        <v/>
      </c>
      <c r="H283" s="23">
        <f>IF(OR(F283="",G283=""),"",F283*G283)</f>
        <v/>
      </c>
      <c r="I283" s="23">
        <f>IF(B283="","",SUMIF('Dispatch (Challan)'!$C$5:$C$304,B283,'Dispatch (Challan)'!$F$5:$F$304))</f>
        <v/>
      </c>
      <c r="J283" s="23">
        <f>IF(F283="","",F283-I283)</f>
        <v/>
      </c>
      <c r="K283" s="23">
        <f>IF(F283="","",IF(I283=0,"Pending",IF(I283&gt;=F283,"Completed","Partial")))</f>
        <v/>
      </c>
    </row>
    <row r="284">
      <c r="A284" s="26" t="n"/>
      <c r="B284" s="21" t="n"/>
      <c r="C284" s="21" t="n"/>
      <c r="D284" s="21" t="n"/>
      <c r="E284" s="21" t="n"/>
      <c r="F284" s="22" t="n"/>
      <c r="G284" s="23">
        <f>IFERROR(IF(E284="","",VLOOKUP(E284,'Setup - Mix Design'!$A$5:$I$304,9,0)),"")</f>
        <v/>
      </c>
      <c r="H284" s="23">
        <f>IF(OR(F284="",G284=""),"",F284*G284)</f>
        <v/>
      </c>
      <c r="I284" s="23">
        <f>IF(B284="","",SUMIF('Dispatch (Challan)'!$C$5:$C$304,B284,'Dispatch (Challan)'!$F$5:$F$304))</f>
        <v/>
      </c>
      <c r="J284" s="23">
        <f>IF(F284="","",F284-I284)</f>
        <v/>
      </c>
      <c r="K284" s="23">
        <f>IF(F284="","",IF(I284=0,"Pending",IF(I284&gt;=F284,"Completed","Partial")))</f>
        <v/>
      </c>
    </row>
    <row r="285">
      <c r="A285" s="26" t="n"/>
      <c r="B285" s="21" t="n"/>
      <c r="C285" s="21" t="n"/>
      <c r="D285" s="21" t="n"/>
      <c r="E285" s="21" t="n"/>
      <c r="F285" s="22" t="n"/>
      <c r="G285" s="23">
        <f>IFERROR(IF(E285="","",VLOOKUP(E285,'Setup - Mix Design'!$A$5:$I$304,9,0)),"")</f>
        <v/>
      </c>
      <c r="H285" s="23">
        <f>IF(OR(F285="",G285=""),"",F285*G285)</f>
        <v/>
      </c>
      <c r="I285" s="23">
        <f>IF(B285="","",SUMIF('Dispatch (Challan)'!$C$5:$C$304,B285,'Dispatch (Challan)'!$F$5:$F$304))</f>
        <v/>
      </c>
      <c r="J285" s="23">
        <f>IF(F285="","",F285-I285)</f>
        <v/>
      </c>
      <c r="K285" s="23">
        <f>IF(F285="","",IF(I285=0,"Pending",IF(I285&gt;=F285,"Completed","Partial")))</f>
        <v/>
      </c>
    </row>
    <row r="286">
      <c r="A286" s="26" t="n"/>
      <c r="B286" s="21" t="n"/>
      <c r="C286" s="21" t="n"/>
      <c r="D286" s="21" t="n"/>
      <c r="E286" s="21" t="n"/>
      <c r="F286" s="22" t="n"/>
      <c r="G286" s="23">
        <f>IFERROR(IF(E286="","",VLOOKUP(E286,'Setup - Mix Design'!$A$5:$I$304,9,0)),"")</f>
        <v/>
      </c>
      <c r="H286" s="23">
        <f>IF(OR(F286="",G286=""),"",F286*G286)</f>
        <v/>
      </c>
      <c r="I286" s="23">
        <f>IF(B286="","",SUMIF('Dispatch (Challan)'!$C$5:$C$304,B286,'Dispatch (Challan)'!$F$5:$F$304))</f>
        <v/>
      </c>
      <c r="J286" s="23">
        <f>IF(F286="","",F286-I286)</f>
        <v/>
      </c>
      <c r="K286" s="23">
        <f>IF(F286="","",IF(I286=0,"Pending",IF(I286&gt;=F286,"Completed","Partial")))</f>
        <v/>
      </c>
    </row>
    <row r="287">
      <c r="A287" s="26" t="n"/>
      <c r="B287" s="21" t="n"/>
      <c r="C287" s="21" t="n"/>
      <c r="D287" s="21" t="n"/>
      <c r="E287" s="21" t="n"/>
      <c r="F287" s="22" t="n"/>
      <c r="G287" s="23">
        <f>IFERROR(IF(E287="","",VLOOKUP(E287,'Setup - Mix Design'!$A$5:$I$304,9,0)),"")</f>
        <v/>
      </c>
      <c r="H287" s="23">
        <f>IF(OR(F287="",G287=""),"",F287*G287)</f>
        <v/>
      </c>
      <c r="I287" s="23">
        <f>IF(B287="","",SUMIF('Dispatch (Challan)'!$C$5:$C$304,B287,'Dispatch (Challan)'!$F$5:$F$304))</f>
        <v/>
      </c>
      <c r="J287" s="23">
        <f>IF(F287="","",F287-I287)</f>
        <v/>
      </c>
      <c r="K287" s="23">
        <f>IF(F287="","",IF(I287=0,"Pending",IF(I287&gt;=F287,"Completed","Partial")))</f>
        <v/>
      </c>
    </row>
    <row r="288">
      <c r="A288" s="26" t="n"/>
      <c r="B288" s="21" t="n"/>
      <c r="C288" s="21" t="n"/>
      <c r="D288" s="21" t="n"/>
      <c r="E288" s="21" t="n"/>
      <c r="F288" s="22" t="n"/>
      <c r="G288" s="23">
        <f>IFERROR(IF(E288="","",VLOOKUP(E288,'Setup - Mix Design'!$A$5:$I$304,9,0)),"")</f>
        <v/>
      </c>
      <c r="H288" s="23">
        <f>IF(OR(F288="",G288=""),"",F288*G288)</f>
        <v/>
      </c>
      <c r="I288" s="23">
        <f>IF(B288="","",SUMIF('Dispatch (Challan)'!$C$5:$C$304,B288,'Dispatch (Challan)'!$F$5:$F$304))</f>
        <v/>
      </c>
      <c r="J288" s="23">
        <f>IF(F288="","",F288-I288)</f>
        <v/>
      </c>
      <c r="K288" s="23">
        <f>IF(F288="","",IF(I288=0,"Pending",IF(I288&gt;=F288,"Completed","Partial")))</f>
        <v/>
      </c>
    </row>
    <row r="289">
      <c r="A289" s="26" t="n"/>
      <c r="B289" s="21" t="n"/>
      <c r="C289" s="21" t="n"/>
      <c r="D289" s="21" t="n"/>
      <c r="E289" s="21" t="n"/>
      <c r="F289" s="22" t="n"/>
      <c r="G289" s="23">
        <f>IFERROR(IF(E289="","",VLOOKUP(E289,'Setup - Mix Design'!$A$5:$I$304,9,0)),"")</f>
        <v/>
      </c>
      <c r="H289" s="23">
        <f>IF(OR(F289="",G289=""),"",F289*G289)</f>
        <v/>
      </c>
      <c r="I289" s="23">
        <f>IF(B289="","",SUMIF('Dispatch (Challan)'!$C$5:$C$304,B289,'Dispatch (Challan)'!$F$5:$F$304))</f>
        <v/>
      </c>
      <c r="J289" s="23">
        <f>IF(F289="","",F289-I289)</f>
        <v/>
      </c>
      <c r="K289" s="23">
        <f>IF(F289="","",IF(I289=0,"Pending",IF(I289&gt;=F289,"Completed","Partial")))</f>
        <v/>
      </c>
    </row>
    <row r="290">
      <c r="A290" s="26" t="n"/>
      <c r="B290" s="21" t="n"/>
      <c r="C290" s="21" t="n"/>
      <c r="D290" s="21" t="n"/>
      <c r="E290" s="21" t="n"/>
      <c r="F290" s="22" t="n"/>
      <c r="G290" s="23">
        <f>IFERROR(IF(E290="","",VLOOKUP(E290,'Setup - Mix Design'!$A$5:$I$304,9,0)),"")</f>
        <v/>
      </c>
      <c r="H290" s="23">
        <f>IF(OR(F290="",G290=""),"",F290*G290)</f>
        <v/>
      </c>
      <c r="I290" s="23">
        <f>IF(B290="","",SUMIF('Dispatch (Challan)'!$C$5:$C$304,B290,'Dispatch (Challan)'!$F$5:$F$304))</f>
        <v/>
      </c>
      <c r="J290" s="23">
        <f>IF(F290="","",F290-I290)</f>
        <v/>
      </c>
      <c r="K290" s="23">
        <f>IF(F290="","",IF(I290=0,"Pending",IF(I290&gt;=F290,"Completed","Partial")))</f>
        <v/>
      </c>
    </row>
    <row r="291">
      <c r="A291" s="26" t="n"/>
      <c r="B291" s="21" t="n"/>
      <c r="C291" s="21" t="n"/>
      <c r="D291" s="21" t="n"/>
      <c r="E291" s="21" t="n"/>
      <c r="F291" s="22" t="n"/>
      <c r="G291" s="23">
        <f>IFERROR(IF(E291="","",VLOOKUP(E291,'Setup - Mix Design'!$A$5:$I$304,9,0)),"")</f>
        <v/>
      </c>
      <c r="H291" s="23">
        <f>IF(OR(F291="",G291=""),"",F291*G291)</f>
        <v/>
      </c>
      <c r="I291" s="23">
        <f>IF(B291="","",SUMIF('Dispatch (Challan)'!$C$5:$C$304,B291,'Dispatch (Challan)'!$F$5:$F$304))</f>
        <v/>
      </c>
      <c r="J291" s="23">
        <f>IF(F291="","",F291-I291)</f>
        <v/>
      </c>
      <c r="K291" s="23">
        <f>IF(F291="","",IF(I291=0,"Pending",IF(I291&gt;=F291,"Completed","Partial")))</f>
        <v/>
      </c>
    </row>
    <row r="292">
      <c r="A292" s="26" t="n"/>
      <c r="B292" s="21" t="n"/>
      <c r="C292" s="21" t="n"/>
      <c r="D292" s="21" t="n"/>
      <c r="E292" s="21" t="n"/>
      <c r="F292" s="22" t="n"/>
      <c r="G292" s="23">
        <f>IFERROR(IF(E292="","",VLOOKUP(E292,'Setup - Mix Design'!$A$5:$I$304,9,0)),"")</f>
        <v/>
      </c>
      <c r="H292" s="23">
        <f>IF(OR(F292="",G292=""),"",F292*G292)</f>
        <v/>
      </c>
      <c r="I292" s="23">
        <f>IF(B292="","",SUMIF('Dispatch (Challan)'!$C$5:$C$304,B292,'Dispatch (Challan)'!$F$5:$F$304))</f>
        <v/>
      </c>
      <c r="J292" s="23">
        <f>IF(F292="","",F292-I292)</f>
        <v/>
      </c>
      <c r="K292" s="23">
        <f>IF(F292="","",IF(I292=0,"Pending",IF(I292&gt;=F292,"Completed","Partial")))</f>
        <v/>
      </c>
    </row>
    <row r="293">
      <c r="A293" s="26" t="n"/>
      <c r="B293" s="21" t="n"/>
      <c r="C293" s="21" t="n"/>
      <c r="D293" s="21" t="n"/>
      <c r="E293" s="21" t="n"/>
      <c r="F293" s="22" t="n"/>
      <c r="G293" s="23">
        <f>IFERROR(IF(E293="","",VLOOKUP(E293,'Setup - Mix Design'!$A$5:$I$304,9,0)),"")</f>
        <v/>
      </c>
      <c r="H293" s="23">
        <f>IF(OR(F293="",G293=""),"",F293*G293)</f>
        <v/>
      </c>
      <c r="I293" s="23">
        <f>IF(B293="","",SUMIF('Dispatch (Challan)'!$C$5:$C$304,B293,'Dispatch (Challan)'!$F$5:$F$304))</f>
        <v/>
      </c>
      <c r="J293" s="23">
        <f>IF(F293="","",F293-I293)</f>
        <v/>
      </c>
      <c r="K293" s="23">
        <f>IF(F293="","",IF(I293=0,"Pending",IF(I293&gt;=F293,"Completed","Partial")))</f>
        <v/>
      </c>
    </row>
    <row r="294">
      <c r="A294" s="26" t="n"/>
      <c r="B294" s="21" t="n"/>
      <c r="C294" s="21" t="n"/>
      <c r="D294" s="21" t="n"/>
      <c r="E294" s="21" t="n"/>
      <c r="F294" s="22" t="n"/>
      <c r="G294" s="23">
        <f>IFERROR(IF(E294="","",VLOOKUP(E294,'Setup - Mix Design'!$A$5:$I$304,9,0)),"")</f>
        <v/>
      </c>
      <c r="H294" s="23">
        <f>IF(OR(F294="",G294=""),"",F294*G294)</f>
        <v/>
      </c>
      <c r="I294" s="23">
        <f>IF(B294="","",SUMIF('Dispatch (Challan)'!$C$5:$C$304,B294,'Dispatch (Challan)'!$F$5:$F$304))</f>
        <v/>
      </c>
      <c r="J294" s="23">
        <f>IF(F294="","",F294-I294)</f>
        <v/>
      </c>
      <c r="K294" s="23">
        <f>IF(F294="","",IF(I294=0,"Pending",IF(I294&gt;=F294,"Completed","Partial")))</f>
        <v/>
      </c>
    </row>
    <row r="295">
      <c r="A295" s="26" t="n"/>
      <c r="B295" s="21" t="n"/>
      <c r="C295" s="21" t="n"/>
      <c r="D295" s="21" t="n"/>
      <c r="E295" s="21" t="n"/>
      <c r="F295" s="22" t="n"/>
      <c r="G295" s="23">
        <f>IFERROR(IF(E295="","",VLOOKUP(E295,'Setup - Mix Design'!$A$5:$I$304,9,0)),"")</f>
        <v/>
      </c>
      <c r="H295" s="23">
        <f>IF(OR(F295="",G295=""),"",F295*G295)</f>
        <v/>
      </c>
      <c r="I295" s="23">
        <f>IF(B295="","",SUMIF('Dispatch (Challan)'!$C$5:$C$304,B295,'Dispatch (Challan)'!$F$5:$F$304))</f>
        <v/>
      </c>
      <c r="J295" s="23">
        <f>IF(F295="","",F295-I295)</f>
        <v/>
      </c>
      <c r="K295" s="23">
        <f>IF(F295="","",IF(I295=0,"Pending",IF(I295&gt;=F295,"Completed","Partial")))</f>
        <v/>
      </c>
    </row>
    <row r="296">
      <c r="A296" s="26" t="n"/>
      <c r="B296" s="21" t="n"/>
      <c r="C296" s="21" t="n"/>
      <c r="D296" s="21" t="n"/>
      <c r="E296" s="21" t="n"/>
      <c r="F296" s="22" t="n"/>
      <c r="G296" s="23">
        <f>IFERROR(IF(E296="","",VLOOKUP(E296,'Setup - Mix Design'!$A$5:$I$304,9,0)),"")</f>
        <v/>
      </c>
      <c r="H296" s="23">
        <f>IF(OR(F296="",G296=""),"",F296*G296)</f>
        <v/>
      </c>
      <c r="I296" s="23">
        <f>IF(B296="","",SUMIF('Dispatch (Challan)'!$C$5:$C$304,B296,'Dispatch (Challan)'!$F$5:$F$304))</f>
        <v/>
      </c>
      <c r="J296" s="23">
        <f>IF(F296="","",F296-I296)</f>
        <v/>
      </c>
      <c r="K296" s="23">
        <f>IF(F296="","",IF(I296=0,"Pending",IF(I296&gt;=F296,"Completed","Partial")))</f>
        <v/>
      </c>
    </row>
    <row r="297">
      <c r="A297" s="26" t="n"/>
      <c r="B297" s="21" t="n"/>
      <c r="C297" s="21" t="n"/>
      <c r="D297" s="21" t="n"/>
      <c r="E297" s="21" t="n"/>
      <c r="F297" s="22" t="n"/>
      <c r="G297" s="23">
        <f>IFERROR(IF(E297="","",VLOOKUP(E297,'Setup - Mix Design'!$A$5:$I$304,9,0)),"")</f>
        <v/>
      </c>
      <c r="H297" s="23">
        <f>IF(OR(F297="",G297=""),"",F297*G297)</f>
        <v/>
      </c>
      <c r="I297" s="23">
        <f>IF(B297="","",SUMIF('Dispatch (Challan)'!$C$5:$C$304,B297,'Dispatch (Challan)'!$F$5:$F$304))</f>
        <v/>
      </c>
      <c r="J297" s="23">
        <f>IF(F297="","",F297-I297)</f>
        <v/>
      </c>
      <c r="K297" s="23">
        <f>IF(F297="","",IF(I297=0,"Pending",IF(I297&gt;=F297,"Completed","Partial")))</f>
        <v/>
      </c>
    </row>
    <row r="298">
      <c r="A298" s="26" t="n"/>
      <c r="B298" s="21" t="n"/>
      <c r="C298" s="21" t="n"/>
      <c r="D298" s="21" t="n"/>
      <c r="E298" s="21" t="n"/>
      <c r="F298" s="22" t="n"/>
      <c r="G298" s="23">
        <f>IFERROR(IF(E298="","",VLOOKUP(E298,'Setup - Mix Design'!$A$5:$I$304,9,0)),"")</f>
        <v/>
      </c>
      <c r="H298" s="23">
        <f>IF(OR(F298="",G298=""),"",F298*G298)</f>
        <v/>
      </c>
      <c r="I298" s="23">
        <f>IF(B298="","",SUMIF('Dispatch (Challan)'!$C$5:$C$304,B298,'Dispatch (Challan)'!$F$5:$F$304))</f>
        <v/>
      </c>
      <c r="J298" s="23">
        <f>IF(F298="","",F298-I298)</f>
        <v/>
      </c>
      <c r="K298" s="23">
        <f>IF(F298="","",IF(I298=0,"Pending",IF(I298&gt;=F298,"Completed","Partial")))</f>
        <v/>
      </c>
    </row>
    <row r="299">
      <c r="A299" s="26" t="n"/>
      <c r="B299" s="21" t="n"/>
      <c r="C299" s="21" t="n"/>
      <c r="D299" s="21" t="n"/>
      <c r="E299" s="21" t="n"/>
      <c r="F299" s="22" t="n"/>
      <c r="G299" s="23">
        <f>IFERROR(IF(E299="","",VLOOKUP(E299,'Setup - Mix Design'!$A$5:$I$304,9,0)),"")</f>
        <v/>
      </c>
      <c r="H299" s="23">
        <f>IF(OR(F299="",G299=""),"",F299*G299)</f>
        <v/>
      </c>
      <c r="I299" s="23">
        <f>IF(B299="","",SUMIF('Dispatch (Challan)'!$C$5:$C$304,B299,'Dispatch (Challan)'!$F$5:$F$304))</f>
        <v/>
      </c>
      <c r="J299" s="23">
        <f>IF(F299="","",F299-I299)</f>
        <v/>
      </c>
      <c r="K299" s="23">
        <f>IF(F299="","",IF(I299=0,"Pending",IF(I299&gt;=F299,"Completed","Partial")))</f>
        <v/>
      </c>
    </row>
    <row r="300">
      <c r="A300" s="26" t="n"/>
      <c r="B300" s="21" t="n"/>
      <c r="C300" s="21" t="n"/>
      <c r="D300" s="21" t="n"/>
      <c r="E300" s="21" t="n"/>
      <c r="F300" s="22" t="n"/>
      <c r="G300" s="23">
        <f>IFERROR(IF(E300="","",VLOOKUP(E300,'Setup - Mix Design'!$A$5:$I$304,9,0)),"")</f>
        <v/>
      </c>
      <c r="H300" s="23">
        <f>IF(OR(F300="",G300=""),"",F300*G300)</f>
        <v/>
      </c>
      <c r="I300" s="23">
        <f>IF(B300="","",SUMIF('Dispatch (Challan)'!$C$5:$C$304,B300,'Dispatch (Challan)'!$F$5:$F$304))</f>
        <v/>
      </c>
      <c r="J300" s="23">
        <f>IF(F300="","",F300-I300)</f>
        <v/>
      </c>
      <c r="K300" s="23">
        <f>IF(F300="","",IF(I300=0,"Pending",IF(I300&gt;=F300,"Completed","Partial")))</f>
        <v/>
      </c>
    </row>
    <row r="301">
      <c r="A301" s="26" t="n"/>
      <c r="B301" s="21" t="n"/>
      <c r="C301" s="21" t="n"/>
      <c r="D301" s="21" t="n"/>
      <c r="E301" s="21" t="n"/>
      <c r="F301" s="22" t="n"/>
      <c r="G301" s="23">
        <f>IFERROR(IF(E301="","",VLOOKUP(E301,'Setup - Mix Design'!$A$5:$I$304,9,0)),"")</f>
        <v/>
      </c>
      <c r="H301" s="23">
        <f>IF(OR(F301="",G301=""),"",F301*G301)</f>
        <v/>
      </c>
      <c r="I301" s="23">
        <f>IF(B301="","",SUMIF('Dispatch (Challan)'!$C$5:$C$304,B301,'Dispatch (Challan)'!$F$5:$F$304))</f>
        <v/>
      </c>
      <c r="J301" s="23">
        <f>IF(F301="","",F301-I301)</f>
        <v/>
      </c>
      <c r="K301" s="23">
        <f>IF(F301="","",IF(I301=0,"Pending",IF(I301&gt;=F301,"Completed","Partial")))</f>
        <v/>
      </c>
    </row>
    <row r="302">
      <c r="A302" s="26" t="n"/>
      <c r="B302" s="21" t="n"/>
      <c r="C302" s="21" t="n"/>
      <c r="D302" s="21" t="n"/>
      <c r="E302" s="21" t="n"/>
      <c r="F302" s="22" t="n"/>
      <c r="G302" s="23">
        <f>IFERROR(IF(E302="","",VLOOKUP(E302,'Setup - Mix Design'!$A$5:$I$304,9,0)),"")</f>
        <v/>
      </c>
      <c r="H302" s="23">
        <f>IF(OR(F302="",G302=""),"",F302*G302)</f>
        <v/>
      </c>
      <c r="I302" s="23">
        <f>IF(B302="","",SUMIF('Dispatch (Challan)'!$C$5:$C$304,B302,'Dispatch (Challan)'!$F$5:$F$304))</f>
        <v/>
      </c>
      <c r="J302" s="23">
        <f>IF(F302="","",F302-I302)</f>
        <v/>
      </c>
      <c r="K302" s="23">
        <f>IF(F302="","",IF(I302=0,"Pending",IF(I302&gt;=F302,"Completed","Partial")))</f>
        <v/>
      </c>
    </row>
    <row r="303">
      <c r="A303" s="26" t="n"/>
      <c r="B303" s="21" t="n"/>
      <c r="C303" s="21" t="n"/>
      <c r="D303" s="21" t="n"/>
      <c r="E303" s="21" t="n"/>
      <c r="F303" s="22" t="n"/>
      <c r="G303" s="23">
        <f>IFERROR(IF(E303="","",VLOOKUP(E303,'Setup - Mix Design'!$A$5:$I$304,9,0)),"")</f>
        <v/>
      </c>
      <c r="H303" s="23">
        <f>IF(OR(F303="",G303=""),"",F303*G303)</f>
        <v/>
      </c>
      <c r="I303" s="23">
        <f>IF(B303="","",SUMIF('Dispatch (Challan)'!$C$5:$C$304,B303,'Dispatch (Challan)'!$F$5:$F$304))</f>
        <v/>
      </c>
      <c r="J303" s="23">
        <f>IF(F303="","",F303-I303)</f>
        <v/>
      </c>
      <c r="K303" s="23">
        <f>IF(F303="","",IF(I303=0,"Pending",IF(I303&gt;=F303,"Completed","Partial")))</f>
        <v/>
      </c>
    </row>
    <row r="304">
      <c r="A304" s="26" t="n"/>
      <c r="B304" s="21" t="n"/>
      <c r="C304" s="21" t="n"/>
      <c r="D304" s="21" t="n"/>
      <c r="E304" s="21" t="n"/>
      <c r="F304" s="22" t="n"/>
      <c r="G304" s="23">
        <f>IFERROR(IF(E304="","",VLOOKUP(E304,'Setup - Mix Design'!$A$5:$I$304,9,0)),"")</f>
        <v/>
      </c>
      <c r="H304" s="23">
        <f>IF(OR(F304="",G304=""),"",F304*G304)</f>
        <v/>
      </c>
      <c r="I304" s="23">
        <f>IF(B304="","",SUMIF('Dispatch (Challan)'!$C$5:$C$304,B304,'Dispatch (Challan)'!$F$5:$F$304))</f>
        <v/>
      </c>
      <c r="J304" s="23">
        <f>IF(F304="","",F304-I304)</f>
        <v/>
      </c>
      <c r="K304" s="23">
        <f>IF(F304="","",IF(I304=0,"Pending",IF(I304&gt;=F304,"Completed","Partial")))</f>
        <v/>
      </c>
    </row>
  </sheetData>
  <mergeCells count="2">
    <mergeCell ref="A2:K2"/>
    <mergeCell ref="A1:K1"/>
  </mergeCells>
  <dataValidations count="2">
    <dataValidation sqref="C5:C304" showDropDown="0" showInputMessage="0" showErrorMessage="0" allowBlank="1" error="Pick a value from the list." promptTitle="Select" prompt="Choose from the dropdown." type="list">
      <formula1>=ClientList</formula1>
    </dataValidation>
    <dataValidation sqref="E5:E304" showDropDown="0" showInputMessage="0" showErrorMessage="0" allowBlank="1" error="Pick a value from the list." promptTitle="Select" prompt="Choose from the dropdown." type="list">
      <formula1>=GradeList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7F4F"/>
    <outlinePr summaryBelow="1" summaryRight="1"/>
    <pageSetUpPr/>
  </sheetPr>
  <dimension ref="A1:K3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8" customWidth="1" min="4" max="4"/>
    <col width="10" customWidth="1" min="5" max="5"/>
    <col width="11" customWidth="1" min="6" max="6"/>
    <col width="16" customWidth="1" min="7" max="7"/>
    <col width="22" customWidth="1" min="8" max="8"/>
    <col width="13" customWidth="1" min="9" max="9"/>
    <col width="15" customWidth="1" min="10" max="10"/>
    <col width="14" customWidth="1" min="11" max="11"/>
  </cols>
  <sheetData>
    <row r="1" ht="34" customHeight="1">
      <c r="A1" s="1" t="inlineStr">
        <is>
          <t>Dispatch  -  Challans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8" customHeight="1">
      <c r="A2" s="3" t="inlineStr">
        <is>
          <t>Each delivery challan. Pick client / grade / vehicle; driver, rate &amp; amount auto-fill. Delivered qty rolls up to Orders.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 ht="30" customHeight="1">
      <c r="A4" s="25" t="inlineStr">
        <is>
          <t>Date</t>
        </is>
      </c>
      <c r="B4" s="25" t="inlineStr">
        <is>
          <t>Challan No.</t>
        </is>
      </c>
      <c r="C4" s="25" t="inlineStr">
        <is>
          <t>Order No.</t>
        </is>
      </c>
      <c r="D4" s="25" t="inlineStr">
        <is>
          <t>Client</t>
        </is>
      </c>
      <c r="E4" s="25" t="inlineStr">
        <is>
          <t>Grade</t>
        </is>
      </c>
      <c r="F4" s="25" t="inlineStr">
        <is>
          <t>Qty (m3)</t>
        </is>
      </c>
      <c r="G4" s="25" t="inlineStr">
        <is>
          <t>Vehicle No.</t>
        </is>
      </c>
      <c r="H4" s="25" t="inlineStr">
        <is>
          <t>Driver</t>
        </is>
      </c>
      <c r="I4" s="25" t="inlineStr">
        <is>
          <t>Rate (₹/m3)</t>
        </is>
      </c>
      <c r="J4" s="25" t="inlineStr">
        <is>
          <t>Amount (₹)</t>
        </is>
      </c>
      <c r="K4" s="25" t="inlineStr">
        <is>
          <t>Status</t>
        </is>
      </c>
    </row>
    <row r="5">
      <c r="A5" s="26" t="inlineStr">
        <is>
          <t>2026-06-22</t>
        </is>
      </c>
      <c r="B5" s="21" t="inlineStr">
        <is>
          <t>CH-0001</t>
        </is>
      </c>
      <c r="C5" s="21" t="inlineStr">
        <is>
          <t>ORD-0001</t>
        </is>
      </c>
      <c r="D5" s="21" t="inlineStr">
        <is>
          <t>Skyline Builders Pvt Ltd</t>
        </is>
      </c>
      <c r="E5" s="21" t="inlineStr">
        <is>
          <t>M25</t>
        </is>
      </c>
      <c r="F5" s="22" t="n">
        <v>6</v>
      </c>
      <c r="G5" s="21" t="inlineStr">
        <is>
          <t>MH12 AB 1234</t>
        </is>
      </c>
      <c r="H5" s="23">
        <f>IFERROR(IF(G5="","",VLOOKUP(G5,'Setup - Vehicles'!$A$5:$D$304,4,0)),"")</f>
        <v/>
      </c>
      <c r="I5" s="23">
        <f>IFERROR(IF(E5="","",VLOOKUP(E5,'Setup - Mix Design'!$A$5:$I$304,9,0)),"")</f>
        <v/>
      </c>
      <c r="J5" s="23">
        <f>IF(OR(F5="",I5=""),"",F5*I5)</f>
        <v/>
      </c>
      <c r="K5" s="21" t="inlineStr">
        <is>
          <t>Delivered</t>
        </is>
      </c>
    </row>
    <row r="6">
      <c r="A6" s="26" t="inlineStr">
        <is>
          <t>2026-06-22</t>
        </is>
      </c>
      <c r="B6" s="21" t="inlineStr">
        <is>
          <t>CH-0002</t>
        </is>
      </c>
      <c r="C6" s="21" t="inlineStr">
        <is>
          <t>ORD-0001</t>
        </is>
      </c>
      <c r="D6" s="21" t="inlineStr">
        <is>
          <t>Skyline Builders Pvt Ltd</t>
        </is>
      </c>
      <c r="E6" s="21" t="inlineStr">
        <is>
          <t>M25</t>
        </is>
      </c>
      <c r="F6" s="22" t="n">
        <v>7</v>
      </c>
      <c r="G6" s="21" t="inlineStr">
        <is>
          <t>MH12 CD 5678</t>
        </is>
      </c>
      <c r="H6" s="23">
        <f>IFERROR(IF(G6="","",VLOOKUP(G6,'Setup - Vehicles'!$A$5:$D$304,4,0)),"")</f>
        <v/>
      </c>
      <c r="I6" s="23">
        <f>IFERROR(IF(E6="","",VLOOKUP(E6,'Setup - Mix Design'!$A$5:$I$304,9,0)),"")</f>
        <v/>
      </c>
      <c r="J6" s="23">
        <f>IF(OR(F6="",I6=""),"",F6*I6)</f>
        <v/>
      </c>
      <c r="K6" s="21" t="inlineStr">
        <is>
          <t>Delivered</t>
        </is>
      </c>
    </row>
    <row r="7">
      <c r="A7" s="26" t="inlineStr">
        <is>
          <t>2026-06-22</t>
        </is>
      </c>
      <c r="B7" s="21" t="inlineStr">
        <is>
          <t>CH-0003</t>
        </is>
      </c>
      <c r="C7" s="21" t="inlineStr">
        <is>
          <t>ORD-0002</t>
        </is>
      </c>
      <c r="D7" s="21" t="inlineStr">
        <is>
          <t>Greenfield Infra</t>
        </is>
      </c>
      <c r="E7" s="21" t="inlineStr">
        <is>
          <t>M30</t>
        </is>
      </c>
      <c r="F7" s="22" t="n">
        <v>7</v>
      </c>
      <c r="G7" s="21" t="inlineStr">
        <is>
          <t>MH12 CD 5678</t>
        </is>
      </c>
      <c r="H7" s="23">
        <f>IFERROR(IF(G7="","",VLOOKUP(G7,'Setup - Vehicles'!$A$5:$D$304,4,0)),"")</f>
        <v/>
      </c>
      <c r="I7" s="23">
        <f>IFERROR(IF(E7="","",VLOOKUP(E7,'Setup - Mix Design'!$A$5:$I$304,9,0)),"")</f>
        <v/>
      </c>
      <c r="J7" s="23">
        <f>IF(OR(F7="",I7=""),"",F7*I7)</f>
        <v/>
      </c>
      <c r="K7" s="21" t="inlineStr">
        <is>
          <t>Dispatched</t>
        </is>
      </c>
    </row>
    <row r="8">
      <c r="A8" s="26" t="n"/>
      <c r="B8" s="21" t="n"/>
      <c r="C8" s="21" t="n"/>
      <c r="D8" s="21" t="n"/>
      <c r="E8" s="21" t="n"/>
      <c r="F8" s="22" t="n"/>
      <c r="G8" s="21" t="n"/>
      <c r="H8" s="23">
        <f>IFERROR(IF(G8="","",VLOOKUP(G8,'Setup - Vehicles'!$A$5:$D$304,4,0)),"")</f>
        <v/>
      </c>
      <c r="I8" s="23">
        <f>IFERROR(IF(E8="","",VLOOKUP(E8,'Setup - Mix Design'!$A$5:$I$304,9,0)),"")</f>
        <v/>
      </c>
      <c r="J8" s="23">
        <f>IF(OR(F8="",I8=""),"",F8*I8)</f>
        <v/>
      </c>
      <c r="K8" s="21" t="n"/>
    </row>
    <row r="9">
      <c r="A9" s="26" t="n"/>
      <c r="B9" s="21" t="n"/>
      <c r="C9" s="21" t="n"/>
      <c r="D9" s="21" t="n"/>
      <c r="E9" s="21" t="n"/>
      <c r="F9" s="22" t="n"/>
      <c r="G9" s="21" t="n"/>
      <c r="H9" s="23">
        <f>IFERROR(IF(G9="","",VLOOKUP(G9,'Setup - Vehicles'!$A$5:$D$304,4,0)),"")</f>
        <v/>
      </c>
      <c r="I9" s="23">
        <f>IFERROR(IF(E9="","",VLOOKUP(E9,'Setup - Mix Design'!$A$5:$I$304,9,0)),"")</f>
        <v/>
      </c>
      <c r="J9" s="23">
        <f>IF(OR(F9="",I9=""),"",F9*I9)</f>
        <v/>
      </c>
      <c r="K9" s="21" t="n"/>
    </row>
    <row r="10">
      <c r="A10" s="26" t="n"/>
      <c r="B10" s="21" t="n"/>
      <c r="C10" s="21" t="n"/>
      <c r="D10" s="21" t="n"/>
      <c r="E10" s="21" t="n"/>
      <c r="F10" s="22" t="n"/>
      <c r="G10" s="21" t="n"/>
      <c r="H10" s="23">
        <f>IFERROR(IF(G10="","",VLOOKUP(G10,'Setup - Vehicles'!$A$5:$D$304,4,0)),"")</f>
        <v/>
      </c>
      <c r="I10" s="23">
        <f>IFERROR(IF(E10="","",VLOOKUP(E10,'Setup - Mix Design'!$A$5:$I$304,9,0)),"")</f>
        <v/>
      </c>
      <c r="J10" s="23">
        <f>IF(OR(F10="",I10=""),"",F10*I10)</f>
        <v/>
      </c>
      <c r="K10" s="21" t="n"/>
    </row>
    <row r="11">
      <c r="A11" s="26" t="n"/>
      <c r="B11" s="21" t="n"/>
      <c r="C11" s="21" t="n"/>
      <c r="D11" s="21" t="n"/>
      <c r="E11" s="21" t="n"/>
      <c r="F11" s="22" t="n"/>
      <c r="G11" s="21" t="n"/>
      <c r="H11" s="23">
        <f>IFERROR(IF(G11="","",VLOOKUP(G11,'Setup - Vehicles'!$A$5:$D$304,4,0)),"")</f>
        <v/>
      </c>
      <c r="I11" s="23">
        <f>IFERROR(IF(E11="","",VLOOKUP(E11,'Setup - Mix Design'!$A$5:$I$304,9,0)),"")</f>
        <v/>
      </c>
      <c r="J11" s="23">
        <f>IF(OR(F11="",I11=""),"",F11*I11)</f>
        <v/>
      </c>
      <c r="K11" s="21" t="n"/>
    </row>
    <row r="12">
      <c r="A12" s="26" t="n"/>
      <c r="B12" s="21" t="n"/>
      <c r="C12" s="21" t="n"/>
      <c r="D12" s="21" t="n"/>
      <c r="E12" s="21" t="n"/>
      <c r="F12" s="22" t="n"/>
      <c r="G12" s="21" t="n"/>
      <c r="H12" s="23">
        <f>IFERROR(IF(G12="","",VLOOKUP(G12,'Setup - Vehicles'!$A$5:$D$304,4,0)),"")</f>
        <v/>
      </c>
      <c r="I12" s="23">
        <f>IFERROR(IF(E12="","",VLOOKUP(E12,'Setup - Mix Design'!$A$5:$I$304,9,0)),"")</f>
        <v/>
      </c>
      <c r="J12" s="23">
        <f>IF(OR(F12="",I12=""),"",F12*I12)</f>
        <v/>
      </c>
      <c r="K12" s="21" t="n"/>
    </row>
    <row r="13">
      <c r="A13" s="26" t="n"/>
      <c r="B13" s="21" t="n"/>
      <c r="C13" s="21" t="n"/>
      <c r="D13" s="21" t="n"/>
      <c r="E13" s="21" t="n"/>
      <c r="F13" s="22" t="n"/>
      <c r="G13" s="21" t="n"/>
      <c r="H13" s="23">
        <f>IFERROR(IF(G13="","",VLOOKUP(G13,'Setup - Vehicles'!$A$5:$D$304,4,0)),"")</f>
        <v/>
      </c>
      <c r="I13" s="23">
        <f>IFERROR(IF(E13="","",VLOOKUP(E13,'Setup - Mix Design'!$A$5:$I$304,9,0)),"")</f>
        <v/>
      </c>
      <c r="J13" s="23">
        <f>IF(OR(F13="",I13=""),"",F13*I13)</f>
        <v/>
      </c>
      <c r="K13" s="21" t="n"/>
    </row>
    <row r="14">
      <c r="A14" s="26" t="n"/>
      <c r="B14" s="21" t="n"/>
      <c r="C14" s="21" t="n"/>
      <c r="D14" s="21" t="n"/>
      <c r="E14" s="21" t="n"/>
      <c r="F14" s="22" t="n"/>
      <c r="G14" s="21" t="n"/>
      <c r="H14" s="23">
        <f>IFERROR(IF(G14="","",VLOOKUP(G14,'Setup - Vehicles'!$A$5:$D$304,4,0)),"")</f>
        <v/>
      </c>
      <c r="I14" s="23">
        <f>IFERROR(IF(E14="","",VLOOKUP(E14,'Setup - Mix Design'!$A$5:$I$304,9,0)),"")</f>
        <v/>
      </c>
      <c r="J14" s="23">
        <f>IF(OR(F14="",I14=""),"",F14*I14)</f>
        <v/>
      </c>
      <c r="K14" s="21" t="n"/>
    </row>
    <row r="15">
      <c r="A15" s="26" t="n"/>
      <c r="B15" s="21" t="n"/>
      <c r="C15" s="21" t="n"/>
      <c r="D15" s="21" t="n"/>
      <c r="E15" s="21" t="n"/>
      <c r="F15" s="22" t="n"/>
      <c r="G15" s="21" t="n"/>
      <c r="H15" s="23">
        <f>IFERROR(IF(G15="","",VLOOKUP(G15,'Setup - Vehicles'!$A$5:$D$304,4,0)),"")</f>
        <v/>
      </c>
      <c r="I15" s="23">
        <f>IFERROR(IF(E15="","",VLOOKUP(E15,'Setup - Mix Design'!$A$5:$I$304,9,0)),"")</f>
        <v/>
      </c>
      <c r="J15" s="23">
        <f>IF(OR(F15="",I15=""),"",F15*I15)</f>
        <v/>
      </c>
      <c r="K15" s="21" t="n"/>
    </row>
    <row r="16">
      <c r="A16" s="26" t="n"/>
      <c r="B16" s="21" t="n"/>
      <c r="C16" s="21" t="n"/>
      <c r="D16" s="21" t="n"/>
      <c r="E16" s="21" t="n"/>
      <c r="F16" s="22" t="n"/>
      <c r="G16" s="21" t="n"/>
      <c r="H16" s="23">
        <f>IFERROR(IF(G16="","",VLOOKUP(G16,'Setup - Vehicles'!$A$5:$D$304,4,0)),"")</f>
        <v/>
      </c>
      <c r="I16" s="23">
        <f>IFERROR(IF(E16="","",VLOOKUP(E16,'Setup - Mix Design'!$A$5:$I$304,9,0)),"")</f>
        <v/>
      </c>
      <c r="J16" s="23">
        <f>IF(OR(F16="",I16=""),"",F16*I16)</f>
        <v/>
      </c>
      <c r="K16" s="21" t="n"/>
    </row>
    <row r="17">
      <c r="A17" s="26" t="n"/>
      <c r="B17" s="21" t="n"/>
      <c r="C17" s="21" t="n"/>
      <c r="D17" s="21" t="n"/>
      <c r="E17" s="21" t="n"/>
      <c r="F17" s="22" t="n"/>
      <c r="G17" s="21" t="n"/>
      <c r="H17" s="23">
        <f>IFERROR(IF(G17="","",VLOOKUP(G17,'Setup - Vehicles'!$A$5:$D$304,4,0)),"")</f>
        <v/>
      </c>
      <c r="I17" s="23">
        <f>IFERROR(IF(E17="","",VLOOKUP(E17,'Setup - Mix Design'!$A$5:$I$304,9,0)),"")</f>
        <v/>
      </c>
      <c r="J17" s="23">
        <f>IF(OR(F17="",I17=""),"",F17*I17)</f>
        <v/>
      </c>
      <c r="K17" s="21" t="n"/>
    </row>
    <row r="18">
      <c r="A18" s="26" t="n"/>
      <c r="B18" s="21" t="n"/>
      <c r="C18" s="21" t="n"/>
      <c r="D18" s="21" t="n"/>
      <c r="E18" s="21" t="n"/>
      <c r="F18" s="22" t="n"/>
      <c r="G18" s="21" t="n"/>
      <c r="H18" s="23">
        <f>IFERROR(IF(G18="","",VLOOKUP(G18,'Setup - Vehicles'!$A$5:$D$304,4,0)),"")</f>
        <v/>
      </c>
      <c r="I18" s="23">
        <f>IFERROR(IF(E18="","",VLOOKUP(E18,'Setup - Mix Design'!$A$5:$I$304,9,0)),"")</f>
        <v/>
      </c>
      <c r="J18" s="23">
        <f>IF(OR(F18="",I18=""),"",F18*I18)</f>
        <v/>
      </c>
      <c r="K18" s="21" t="n"/>
    </row>
    <row r="19">
      <c r="A19" s="26" t="n"/>
      <c r="B19" s="21" t="n"/>
      <c r="C19" s="21" t="n"/>
      <c r="D19" s="21" t="n"/>
      <c r="E19" s="21" t="n"/>
      <c r="F19" s="22" t="n"/>
      <c r="G19" s="21" t="n"/>
      <c r="H19" s="23">
        <f>IFERROR(IF(G19="","",VLOOKUP(G19,'Setup - Vehicles'!$A$5:$D$304,4,0)),"")</f>
        <v/>
      </c>
      <c r="I19" s="23">
        <f>IFERROR(IF(E19="","",VLOOKUP(E19,'Setup - Mix Design'!$A$5:$I$304,9,0)),"")</f>
        <v/>
      </c>
      <c r="J19" s="23">
        <f>IF(OR(F19="",I19=""),"",F19*I19)</f>
        <v/>
      </c>
      <c r="K19" s="21" t="n"/>
    </row>
    <row r="20">
      <c r="A20" s="26" t="n"/>
      <c r="B20" s="21" t="n"/>
      <c r="C20" s="21" t="n"/>
      <c r="D20" s="21" t="n"/>
      <c r="E20" s="21" t="n"/>
      <c r="F20" s="22" t="n"/>
      <c r="G20" s="21" t="n"/>
      <c r="H20" s="23">
        <f>IFERROR(IF(G20="","",VLOOKUP(G20,'Setup - Vehicles'!$A$5:$D$304,4,0)),"")</f>
        <v/>
      </c>
      <c r="I20" s="23">
        <f>IFERROR(IF(E20="","",VLOOKUP(E20,'Setup - Mix Design'!$A$5:$I$304,9,0)),"")</f>
        <v/>
      </c>
      <c r="J20" s="23">
        <f>IF(OR(F20="",I20=""),"",F20*I20)</f>
        <v/>
      </c>
      <c r="K20" s="21" t="n"/>
    </row>
    <row r="21">
      <c r="A21" s="26" t="n"/>
      <c r="B21" s="21" t="n"/>
      <c r="C21" s="21" t="n"/>
      <c r="D21" s="21" t="n"/>
      <c r="E21" s="21" t="n"/>
      <c r="F21" s="22" t="n"/>
      <c r="G21" s="21" t="n"/>
      <c r="H21" s="23">
        <f>IFERROR(IF(G21="","",VLOOKUP(G21,'Setup - Vehicles'!$A$5:$D$304,4,0)),"")</f>
        <v/>
      </c>
      <c r="I21" s="23">
        <f>IFERROR(IF(E21="","",VLOOKUP(E21,'Setup - Mix Design'!$A$5:$I$304,9,0)),"")</f>
        <v/>
      </c>
      <c r="J21" s="23">
        <f>IF(OR(F21="",I21=""),"",F21*I21)</f>
        <v/>
      </c>
      <c r="K21" s="21" t="n"/>
    </row>
    <row r="22">
      <c r="A22" s="26" t="n"/>
      <c r="B22" s="21" t="n"/>
      <c r="C22" s="21" t="n"/>
      <c r="D22" s="21" t="n"/>
      <c r="E22" s="21" t="n"/>
      <c r="F22" s="22" t="n"/>
      <c r="G22" s="21" t="n"/>
      <c r="H22" s="23">
        <f>IFERROR(IF(G22="","",VLOOKUP(G22,'Setup - Vehicles'!$A$5:$D$304,4,0)),"")</f>
        <v/>
      </c>
      <c r="I22" s="23">
        <f>IFERROR(IF(E22="","",VLOOKUP(E22,'Setup - Mix Design'!$A$5:$I$304,9,0)),"")</f>
        <v/>
      </c>
      <c r="J22" s="23">
        <f>IF(OR(F22="",I22=""),"",F22*I22)</f>
        <v/>
      </c>
      <c r="K22" s="21" t="n"/>
    </row>
    <row r="23">
      <c r="A23" s="26" t="n"/>
      <c r="B23" s="21" t="n"/>
      <c r="C23" s="21" t="n"/>
      <c r="D23" s="21" t="n"/>
      <c r="E23" s="21" t="n"/>
      <c r="F23" s="22" t="n"/>
      <c r="G23" s="21" t="n"/>
      <c r="H23" s="23">
        <f>IFERROR(IF(G23="","",VLOOKUP(G23,'Setup - Vehicles'!$A$5:$D$304,4,0)),"")</f>
        <v/>
      </c>
      <c r="I23" s="23">
        <f>IFERROR(IF(E23="","",VLOOKUP(E23,'Setup - Mix Design'!$A$5:$I$304,9,0)),"")</f>
        <v/>
      </c>
      <c r="J23" s="23">
        <f>IF(OR(F23="",I23=""),"",F23*I23)</f>
        <v/>
      </c>
      <c r="K23" s="21" t="n"/>
    </row>
    <row r="24">
      <c r="A24" s="26" t="n"/>
      <c r="B24" s="21" t="n"/>
      <c r="C24" s="21" t="n"/>
      <c r="D24" s="21" t="n"/>
      <c r="E24" s="21" t="n"/>
      <c r="F24" s="22" t="n"/>
      <c r="G24" s="21" t="n"/>
      <c r="H24" s="23">
        <f>IFERROR(IF(G24="","",VLOOKUP(G24,'Setup - Vehicles'!$A$5:$D$304,4,0)),"")</f>
        <v/>
      </c>
      <c r="I24" s="23">
        <f>IFERROR(IF(E24="","",VLOOKUP(E24,'Setup - Mix Design'!$A$5:$I$304,9,0)),"")</f>
        <v/>
      </c>
      <c r="J24" s="23">
        <f>IF(OR(F24="",I24=""),"",F24*I24)</f>
        <v/>
      </c>
      <c r="K24" s="21" t="n"/>
    </row>
    <row r="25">
      <c r="A25" s="26" t="n"/>
      <c r="B25" s="21" t="n"/>
      <c r="C25" s="21" t="n"/>
      <c r="D25" s="21" t="n"/>
      <c r="E25" s="21" t="n"/>
      <c r="F25" s="22" t="n"/>
      <c r="G25" s="21" t="n"/>
      <c r="H25" s="23">
        <f>IFERROR(IF(G25="","",VLOOKUP(G25,'Setup - Vehicles'!$A$5:$D$304,4,0)),"")</f>
        <v/>
      </c>
      <c r="I25" s="23">
        <f>IFERROR(IF(E25="","",VLOOKUP(E25,'Setup - Mix Design'!$A$5:$I$304,9,0)),"")</f>
        <v/>
      </c>
      <c r="J25" s="23">
        <f>IF(OR(F25="",I25=""),"",F25*I25)</f>
        <v/>
      </c>
      <c r="K25" s="21" t="n"/>
    </row>
    <row r="26">
      <c r="A26" s="26" t="n"/>
      <c r="B26" s="21" t="n"/>
      <c r="C26" s="21" t="n"/>
      <c r="D26" s="21" t="n"/>
      <c r="E26" s="21" t="n"/>
      <c r="F26" s="22" t="n"/>
      <c r="G26" s="21" t="n"/>
      <c r="H26" s="23">
        <f>IFERROR(IF(G26="","",VLOOKUP(G26,'Setup - Vehicles'!$A$5:$D$304,4,0)),"")</f>
        <v/>
      </c>
      <c r="I26" s="23">
        <f>IFERROR(IF(E26="","",VLOOKUP(E26,'Setup - Mix Design'!$A$5:$I$304,9,0)),"")</f>
        <v/>
      </c>
      <c r="J26" s="23">
        <f>IF(OR(F26="",I26=""),"",F26*I26)</f>
        <v/>
      </c>
      <c r="K26" s="21" t="n"/>
    </row>
    <row r="27">
      <c r="A27" s="26" t="n"/>
      <c r="B27" s="21" t="n"/>
      <c r="C27" s="21" t="n"/>
      <c r="D27" s="21" t="n"/>
      <c r="E27" s="21" t="n"/>
      <c r="F27" s="22" t="n"/>
      <c r="G27" s="21" t="n"/>
      <c r="H27" s="23">
        <f>IFERROR(IF(G27="","",VLOOKUP(G27,'Setup - Vehicles'!$A$5:$D$304,4,0)),"")</f>
        <v/>
      </c>
      <c r="I27" s="23">
        <f>IFERROR(IF(E27="","",VLOOKUP(E27,'Setup - Mix Design'!$A$5:$I$304,9,0)),"")</f>
        <v/>
      </c>
      <c r="J27" s="23">
        <f>IF(OR(F27="",I27=""),"",F27*I27)</f>
        <v/>
      </c>
      <c r="K27" s="21" t="n"/>
    </row>
    <row r="28">
      <c r="A28" s="26" t="n"/>
      <c r="B28" s="21" t="n"/>
      <c r="C28" s="21" t="n"/>
      <c r="D28" s="21" t="n"/>
      <c r="E28" s="21" t="n"/>
      <c r="F28" s="22" t="n"/>
      <c r="G28" s="21" t="n"/>
      <c r="H28" s="23">
        <f>IFERROR(IF(G28="","",VLOOKUP(G28,'Setup - Vehicles'!$A$5:$D$304,4,0)),"")</f>
        <v/>
      </c>
      <c r="I28" s="23">
        <f>IFERROR(IF(E28="","",VLOOKUP(E28,'Setup - Mix Design'!$A$5:$I$304,9,0)),"")</f>
        <v/>
      </c>
      <c r="J28" s="23">
        <f>IF(OR(F28="",I28=""),"",F28*I28)</f>
        <v/>
      </c>
      <c r="K28" s="21" t="n"/>
    </row>
    <row r="29">
      <c r="A29" s="26" t="n"/>
      <c r="B29" s="21" t="n"/>
      <c r="C29" s="21" t="n"/>
      <c r="D29" s="21" t="n"/>
      <c r="E29" s="21" t="n"/>
      <c r="F29" s="22" t="n"/>
      <c r="G29" s="21" t="n"/>
      <c r="H29" s="23">
        <f>IFERROR(IF(G29="","",VLOOKUP(G29,'Setup - Vehicles'!$A$5:$D$304,4,0)),"")</f>
        <v/>
      </c>
      <c r="I29" s="23">
        <f>IFERROR(IF(E29="","",VLOOKUP(E29,'Setup - Mix Design'!$A$5:$I$304,9,0)),"")</f>
        <v/>
      </c>
      <c r="J29" s="23">
        <f>IF(OR(F29="",I29=""),"",F29*I29)</f>
        <v/>
      </c>
      <c r="K29" s="21" t="n"/>
    </row>
    <row r="30">
      <c r="A30" s="26" t="n"/>
      <c r="B30" s="21" t="n"/>
      <c r="C30" s="21" t="n"/>
      <c r="D30" s="21" t="n"/>
      <c r="E30" s="21" t="n"/>
      <c r="F30" s="22" t="n"/>
      <c r="G30" s="21" t="n"/>
      <c r="H30" s="23">
        <f>IFERROR(IF(G30="","",VLOOKUP(G30,'Setup - Vehicles'!$A$5:$D$304,4,0)),"")</f>
        <v/>
      </c>
      <c r="I30" s="23">
        <f>IFERROR(IF(E30="","",VLOOKUP(E30,'Setup - Mix Design'!$A$5:$I$304,9,0)),"")</f>
        <v/>
      </c>
      <c r="J30" s="23">
        <f>IF(OR(F30="",I30=""),"",F30*I30)</f>
        <v/>
      </c>
      <c r="K30" s="21" t="n"/>
    </row>
    <row r="31">
      <c r="A31" s="26" t="n"/>
      <c r="B31" s="21" t="n"/>
      <c r="C31" s="21" t="n"/>
      <c r="D31" s="21" t="n"/>
      <c r="E31" s="21" t="n"/>
      <c r="F31" s="22" t="n"/>
      <c r="G31" s="21" t="n"/>
      <c r="H31" s="23">
        <f>IFERROR(IF(G31="","",VLOOKUP(G31,'Setup - Vehicles'!$A$5:$D$304,4,0)),"")</f>
        <v/>
      </c>
      <c r="I31" s="23">
        <f>IFERROR(IF(E31="","",VLOOKUP(E31,'Setup - Mix Design'!$A$5:$I$304,9,0)),"")</f>
        <v/>
      </c>
      <c r="J31" s="23">
        <f>IF(OR(F31="",I31=""),"",F31*I31)</f>
        <v/>
      </c>
      <c r="K31" s="21" t="n"/>
    </row>
    <row r="32">
      <c r="A32" s="26" t="n"/>
      <c r="B32" s="21" t="n"/>
      <c r="C32" s="21" t="n"/>
      <c r="D32" s="21" t="n"/>
      <c r="E32" s="21" t="n"/>
      <c r="F32" s="22" t="n"/>
      <c r="G32" s="21" t="n"/>
      <c r="H32" s="23">
        <f>IFERROR(IF(G32="","",VLOOKUP(G32,'Setup - Vehicles'!$A$5:$D$304,4,0)),"")</f>
        <v/>
      </c>
      <c r="I32" s="23">
        <f>IFERROR(IF(E32="","",VLOOKUP(E32,'Setup - Mix Design'!$A$5:$I$304,9,0)),"")</f>
        <v/>
      </c>
      <c r="J32" s="23">
        <f>IF(OR(F32="",I32=""),"",F32*I32)</f>
        <v/>
      </c>
      <c r="K32" s="21" t="n"/>
    </row>
    <row r="33">
      <c r="A33" s="26" t="n"/>
      <c r="B33" s="21" t="n"/>
      <c r="C33" s="21" t="n"/>
      <c r="D33" s="21" t="n"/>
      <c r="E33" s="21" t="n"/>
      <c r="F33" s="22" t="n"/>
      <c r="G33" s="21" t="n"/>
      <c r="H33" s="23">
        <f>IFERROR(IF(G33="","",VLOOKUP(G33,'Setup - Vehicles'!$A$5:$D$304,4,0)),"")</f>
        <v/>
      </c>
      <c r="I33" s="23">
        <f>IFERROR(IF(E33="","",VLOOKUP(E33,'Setup - Mix Design'!$A$5:$I$304,9,0)),"")</f>
        <v/>
      </c>
      <c r="J33" s="23">
        <f>IF(OR(F33="",I33=""),"",F33*I33)</f>
        <v/>
      </c>
      <c r="K33" s="21" t="n"/>
    </row>
    <row r="34">
      <c r="A34" s="26" t="n"/>
      <c r="B34" s="21" t="n"/>
      <c r="C34" s="21" t="n"/>
      <c r="D34" s="21" t="n"/>
      <c r="E34" s="21" t="n"/>
      <c r="F34" s="22" t="n"/>
      <c r="G34" s="21" t="n"/>
      <c r="H34" s="23">
        <f>IFERROR(IF(G34="","",VLOOKUP(G34,'Setup - Vehicles'!$A$5:$D$304,4,0)),"")</f>
        <v/>
      </c>
      <c r="I34" s="23">
        <f>IFERROR(IF(E34="","",VLOOKUP(E34,'Setup - Mix Design'!$A$5:$I$304,9,0)),"")</f>
        <v/>
      </c>
      <c r="J34" s="23">
        <f>IF(OR(F34="",I34=""),"",F34*I34)</f>
        <v/>
      </c>
      <c r="K34" s="21" t="n"/>
    </row>
    <row r="35">
      <c r="A35" s="26" t="n"/>
      <c r="B35" s="21" t="n"/>
      <c r="C35" s="21" t="n"/>
      <c r="D35" s="21" t="n"/>
      <c r="E35" s="21" t="n"/>
      <c r="F35" s="22" t="n"/>
      <c r="G35" s="21" t="n"/>
      <c r="H35" s="23">
        <f>IFERROR(IF(G35="","",VLOOKUP(G35,'Setup - Vehicles'!$A$5:$D$304,4,0)),"")</f>
        <v/>
      </c>
      <c r="I35" s="23">
        <f>IFERROR(IF(E35="","",VLOOKUP(E35,'Setup - Mix Design'!$A$5:$I$304,9,0)),"")</f>
        <v/>
      </c>
      <c r="J35" s="23">
        <f>IF(OR(F35="",I35=""),"",F35*I35)</f>
        <v/>
      </c>
      <c r="K35" s="21" t="n"/>
    </row>
    <row r="36">
      <c r="A36" s="26" t="n"/>
      <c r="B36" s="21" t="n"/>
      <c r="C36" s="21" t="n"/>
      <c r="D36" s="21" t="n"/>
      <c r="E36" s="21" t="n"/>
      <c r="F36" s="22" t="n"/>
      <c r="G36" s="21" t="n"/>
      <c r="H36" s="23">
        <f>IFERROR(IF(G36="","",VLOOKUP(G36,'Setup - Vehicles'!$A$5:$D$304,4,0)),"")</f>
        <v/>
      </c>
      <c r="I36" s="23">
        <f>IFERROR(IF(E36="","",VLOOKUP(E36,'Setup - Mix Design'!$A$5:$I$304,9,0)),"")</f>
        <v/>
      </c>
      <c r="J36" s="23">
        <f>IF(OR(F36="",I36=""),"",F36*I36)</f>
        <v/>
      </c>
      <c r="K36" s="21" t="n"/>
    </row>
    <row r="37">
      <c r="A37" s="26" t="n"/>
      <c r="B37" s="21" t="n"/>
      <c r="C37" s="21" t="n"/>
      <c r="D37" s="21" t="n"/>
      <c r="E37" s="21" t="n"/>
      <c r="F37" s="22" t="n"/>
      <c r="G37" s="21" t="n"/>
      <c r="H37" s="23">
        <f>IFERROR(IF(G37="","",VLOOKUP(G37,'Setup - Vehicles'!$A$5:$D$304,4,0)),"")</f>
        <v/>
      </c>
      <c r="I37" s="23">
        <f>IFERROR(IF(E37="","",VLOOKUP(E37,'Setup - Mix Design'!$A$5:$I$304,9,0)),"")</f>
        <v/>
      </c>
      <c r="J37" s="23">
        <f>IF(OR(F37="",I37=""),"",F37*I37)</f>
        <v/>
      </c>
      <c r="K37" s="21" t="n"/>
    </row>
    <row r="38">
      <c r="A38" s="26" t="n"/>
      <c r="B38" s="21" t="n"/>
      <c r="C38" s="21" t="n"/>
      <c r="D38" s="21" t="n"/>
      <c r="E38" s="21" t="n"/>
      <c r="F38" s="22" t="n"/>
      <c r="G38" s="21" t="n"/>
      <c r="H38" s="23">
        <f>IFERROR(IF(G38="","",VLOOKUP(G38,'Setup - Vehicles'!$A$5:$D$304,4,0)),"")</f>
        <v/>
      </c>
      <c r="I38" s="23">
        <f>IFERROR(IF(E38="","",VLOOKUP(E38,'Setup - Mix Design'!$A$5:$I$304,9,0)),"")</f>
        <v/>
      </c>
      <c r="J38" s="23">
        <f>IF(OR(F38="",I38=""),"",F38*I38)</f>
        <v/>
      </c>
      <c r="K38" s="21" t="n"/>
    </row>
    <row r="39">
      <c r="A39" s="26" t="n"/>
      <c r="B39" s="21" t="n"/>
      <c r="C39" s="21" t="n"/>
      <c r="D39" s="21" t="n"/>
      <c r="E39" s="21" t="n"/>
      <c r="F39" s="22" t="n"/>
      <c r="G39" s="21" t="n"/>
      <c r="H39" s="23">
        <f>IFERROR(IF(G39="","",VLOOKUP(G39,'Setup - Vehicles'!$A$5:$D$304,4,0)),"")</f>
        <v/>
      </c>
      <c r="I39" s="23">
        <f>IFERROR(IF(E39="","",VLOOKUP(E39,'Setup - Mix Design'!$A$5:$I$304,9,0)),"")</f>
        <v/>
      </c>
      <c r="J39" s="23">
        <f>IF(OR(F39="",I39=""),"",F39*I39)</f>
        <v/>
      </c>
      <c r="K39" s="21" t="n"/>
    </row>
    <row r="40">
      <c r="A40" s="26" t="n"/>
      <c r="B40" s="21" t="n"/>
      <c r="C40" s="21" t="n"/>
      <c r="D40" s="21" t="n"/>
      <c r="E40" s="21" t="n"/>
      <c r="F40" s="22" t="n"/>
      <c r="G40" s="21" t="n"/>
      <c r="H40" s="23">
        <f>IFERROR(IF(G40="","",VLOOKUP(G40,'Setup - Vehicles'!$A$5:$D$304,4,0)),"")</f>
        <v/>
      </c>
      <c r="I40" s="23">
        <f>IFERROR(IF(E40="","",VLOOKUP(E40,'Setup - Mix Design'!$A$5:$I$304,9,0)),"")</f>
        <v/>
      </c>
      <c r="J40" s="23">
        <f>IF(OR(F40="",I40=""),"",F40*I40)</f>
        <v/>
      </c>
      <c r="K40" s="21" t="n"/>
    </row>
    <row r="41">
      <c r="A41" s="26" t="n"/>
      <c r="B41" s="21" t="n"/>
      <c r="C41" s="21" t="n"/>
      <c r="D41" s="21" t="n"/>
      <c r="E41" s="21" t="n"/>
      <c r="F41" s="22" t="n"/>
      <c r="G41" s="21" t="n"/>
      <c r="H41" s="23">
        <f>IFERROR(IF(G41="","",VLOOKUP(G41,'Setup - Vehicles'!$A$5:$D$304,4,0)),"")</f>
        <v/>
      </c>
      <c r="I41" s="23">
        <f>IFERROR(IF(E41="","",VLOOKUP(E41,'Setup - Mix Design'!$A$5:$I$304,9,0)),"")</f>
        <v/>
      </c>
      <c r="J41" s="23">
        <f>IF(OR(F41="",I41=""),"",F41*I41)</f>
        <v/>
      </c>
      <c r="K41" s="21" t="n"/>
    </row>
    <row r="42">
      <c r="A42" s="26" t="n"/>
      <c r="B42" s="21" t="n"/>
      <c r="C42" s="21" t="n"/>
      <c r="D42" s="21" t="n"/>
      <c r="E42" s="21" t="n"/>
      <c r="F42" s="22" t="n"/>
      <c r="G42" s="21" t="n"/>
      <c r="H42" s="23">
        <f>IFERROR(IF(G42="","",VLOOKUP(G42,'Setup - Vehicles'!$A$5:$D$304,4,0)),"")</f>
        <v/>
      </c>
      <c r="I42" s="23">
        <f>IFERROR(IF(E42="","",VLOOKUP(E42,'Setup - Mix Design'!$A$5:$I$304,9,0)),"")</f>
        <v/>
      </c>
      <c r="J42" s="23">
        <f>IF(OR(F42="",I42=""),"",F42*I42)</f>
        <v/>
      </c>
      <c r="K42" s="21" t="n"/>
    </row>
    <row r="43">
      <c r="A43" s="26" t="n"/>
      <c r="B43" s="21" t="n"/>
      <c r="C43" s="21" t="n"/>
      <c r="D43" s="21" t="n"/>
      <c r="E43" s="21" t="n"/>
      <c r="F43" s="22" t="n"/>
      <c r="G43" s="21" t="n"/>
      <c r="H43" s="23">
        <f>IFERROR(IF(G43="","",VLOOKUP(G43,'Setup - Vehicles'!$A$5:$D$304,4,0)),"")</f>
        <v/>
      </c>
      <c r="I43" s="23">
        <f>IFERROR(IF(E43="","",VLOOKUP(E43,'Setup - Mix Design'!$A$5:$I$304,9,0)),"")</f>
        <v/>
      </c>
      <c r="J43" s="23">
        <f>IF(OR(F43="",I43=""),"",F43*I43)</f>
        <v/>
      </c>
      <c r="K43" s="21" t="n"/>
    </row>
    <row r="44">
      <c r="A44" s="26" t="n"/>
      <c r="B44" s="21" t="n"/>
      <c r="C44" s="21" t="n"/>
      <c r="D44" s="21" t="n"/>
      <c r="E44" s="21" t="n"/>
      <c r="F44" s="22" t="n"/>
      <c r="G44" s="21" t="n"/>
      <c r="H44" s="23">
        <f>IFERROR(IF(G44="","",VLOOKUP(G44,'Setup - Vehicles'!$A$5:$D$304,4,0)),"")</f>
        <v/>
      </c>
      <c r="I44" s="23">
        <f>IFERROR(IF(E44="","",VLOOKUP(E44,'Setup - Mix Design'!$A$5:$I$304,9,0)),"")</f>
        <v/>
      </c>
      <c r="J44" s="23">
        <f>IF(OR(F44="",I44=""),"",F44*I44)</f>
        <v/>
      </c>
      <c r="K44" s="21" t="n"/>
    </row>
    <row r="45">
      <c r="A45" s="26" t="n"/>
      <c r="B45" s="21" t="n"/>
      <c r="C45" s="21" t="n"/>
      <c r="D45" s="21" t="n"/>
      <c r="E45" s="21" t="n"/>
      <c r="F45" s="22" t="n"/>
      <c r="G45" s="21" t="n"/>
      <c r="H45" s="23">
        <f>IFERROR(IF(G45="","",VLOOKUP(G45,'Setup - Vehicles'!$A$5:$D$304,4,0)),"")</f>
        <v/>
      </c>
      <c r="I45" s="23">
        <f>IFERROR(IF(E45="","",VLOOKUP(E45,'Setup - Mix Design'!$A$5:$I$304,9,0)),"")</f>
        <v/>
      </c>
      <c r="J45" s="23">
        <f>IF(OR(F45="",I45=""),"",F45*I45)</f>
        <v/>
      </c>
      <c r="K45" s="21" t="n"/>
    </row>
    <row r="46">
      <c r="A46" s="26" t="n"/>
      <c r="B46" s="21" t="n"/>
      <c r="C46" s="21" t="n"/>
      <c r="D46" s="21" t="n"/>
      <c r="E46" s="21" t="n"/>
      <c r="F46" s="22" t="n"/>
      <c r="G46" s="21" t="n"/>
      <c r="H46" s="23">
        <f>IFERROR(IF(G46="","",VLOOKUP(G46,'Setup - Vehicles'!$A$5:$D$304,4,0)),"")</f>
        <v/>
      </c>
      <c r="I46" s="23">
        <f>IFERROR(IF(E46="","",VLOOKUP(E46,'Setup - Mix Design'!$A$5:$I$304,9,0)),"")</f>
        <v/>
      </c>
      <c r="J46" s="23">
        <f>IF(OR(F46="",I46=""),"",F46*I46)</f>
        <v/>
      </c>
      <c r="K46" s="21" t="n"/>
    </row>
    <row r="47">
      <c r="A47" s="26" t="n"/>
      <c r="B47" s="21" t="n"/>
      <c r="C47" s="21" t="n"/>
      <c r="D47" s="21" t="n"/>
      <c r="E47" s="21" t="n"/>
      <c r="F47" s="22" t="n"/>
      <c r="G47" s="21" t="n"/>
      <c r="H47" s="23">
        <f>IFERROR(IF(G47="","",VLOOKUP(G47,'Setup - Vehicles'!$A$5:$D$304,4,0)),"")</f>
        <v/>
      </c>
      <c r="I47" s="23">
        <f>IFERROR(IF(E47="","",VLOOKUP(E47,'Setup - Mix Design'!$A$5:$I$304,9,0)),"")</f>
        <v/>
      </c>
      <c r="J47" s="23">
        <f>IF(OR(F47="",I47=""),"",F47*I47)</f>
        <v/>
      </c>
      <c r="K47" s="21" t="n"/>
    </row>
    <row r="48">
      <c r="A48" s="26" t="n"/>
      <c r="B48" s="21" t="n"/>
      <c r="C48" s="21" t="n"/>
      <c r="D48" s="21" t="n"/>
      <c r="E48" s="21" t="n"/>
      <c r="F48" s="22" t="n"/>
      <c r="G48" s="21" t="n"/>
      <c r="H48" s="23">
        <f>IFERROR(IF(G48="","",VLOOKUP(G48,'Setup - Vehicles'!$A$5:$D$304,4,0)),"")</f>
        <v/>
      </c>
      <c r="I48" s="23">
        <f>IFERROR(IF(E48="","",VLOOKUP(E48,'Setup - Mix Design'!$A$5:$I$304,9,0)),"")</f>
        <v/>
      </c>
      <c r="J48" s="23">
        <f>IF(OR(F48="",I48=""),"",F48*I48)</f>
        <v/>
      </c>
      <c r="K48" s="21" t="n"/>
    </row>
    <row r="49">
      <c r="A49" s="26" t="n"/>
      <c r="B49" s="21" t="n"/>
      <c r="C49" s="21" t="n"/>
      <c r="D49" s="21" t="n"/>
      <c r="E49" s="21" t="n"/>
      <c r="F49" s="22" t="n"/>
      <c r="G49" s="21" t="n"/>
      <c r="H49" s="23">
        <f>IFERROR(IF(G49="","",VLOOKUP(G49,'Setup - Vehicles'!$A$5:$D$304,4,0)),"")</f>
        <v/>
      </c>
      <c r="I49" s="23">
        <f>IFERROR(IF(E49="","",VLOOKUP(E49,'Setup - Mix Design'!$A$5:$I$304,9,0)),"")</f>
        <v/>
      </c>
      <c r="J49" s="23">
        <f>IF(OR(F49="",I49=""),"",F49*I49)</f>
        <v/>
      </c>
      <c r="K49" s="21" t="n"/>
    </row>
    <row r="50">
      <c r="A50" s="26" t="n"/>
      <c r="B50" s="21" t="n"/>
      <c r="C50" s="21" t="n"/>
      <c r="D50" s="21" t="n"/>
      <c r="E50" s="21" t="n"/>
      <c r="F50" s="22" t="n"/>
      <c r="G50" s="21" t="n"/>
      <c r="H50" s="23">
        <f>IFERROR(IF(G50="","",VLOOKUP(G50,'Setup - Vehicles'!$A$5:$D$304,4,0)),"")</f>
        <v/>
      </c>
      <c r="I50" s="23">
        <f>IFERROR(IF(E50="","",VLOOKUP(E50,'Setup - Mix Design'!$A$5:$I$304,9,0)),"")</f>
        <v/>
      </c>
      <c r="J50" s="23">
        <f>IF(OR(F50="",I50=""),"",F50*I50)</f>
        <v/>
      </c>
      <c r="K50" s="21" t="n"/>
    </row>
    <row r="51">
      <c r="A51" s="26" t="n"/>
      <c r="B51" s="21" t="n"/>
      <c r="C51" s="21" t="n"/>
      <c r="D51" s="21" t="n"/>
      <c r="E51" s="21" t="n"/>
      <c r="F51" s="22" t="n"/>
      <c r="G51" s="21" t="n"/>
      <c r="H51" s="23">
        <f>IFERROR(IF(G51="","",VLOOKUP(G51,'Setup - Vehicles'!$A$5:$D$304,4,0)),"")</f>
        <v/>
      </c>
      <c r="I51" s="23">
        <f>IFERROR(IF(E51="","",VLOOKUP(E51,'Setup - Mix Design'!$A$5:$I$304,9,0)),"")</f>
        <v/>
      </c>
      <c r="J51" s="23">
        <f>IF(OR(F51="",I51=""),"",F51*I51)</f>
        <v/>
      </c>
      <c r="K51" s="21" t="n"/>
    </row>
    <row r="52">
      <c r="A52" s="26" t="n"/>
      <c r="B52" s="21" t="n"/>
      <c r="C52" s="21" t="n"/>
      <c r="D52" s="21" t="n"/>
      <c r="E52" s="21" t="n"/>
      <c r="F52" s="22" t="n"/>
      <c r="G52" s="21" t="n"/>
      <c r="H52" s="23">
        <f>IFERROR(IF(G52="","",VLOOKUP(G52,'Setup - Vehicles'!$A$5:$D$304,4,0)),"")</f>
        <v/>
      </c>
      <c r="I52" s="23">
        <f>IFERROR(IF(E52="","",VLOOKUP(E52,'Setup - Mix Design'!$A$5:$I$304,9,0)),"")</f>
        <v/>
      </c>
      <c r="J52" s="23">
        <f>IF(OR(F52="",I52=""),"",F52*I52)</f>
        <v/>
      </c>
      <c r="K52" s="21" t="n"/>
    </row>
    <row r="53">
      <c r="A53" s="26" t="n"/>
      <c r="B53" s="21" t="n"/>
      <c r="C53" s="21" t="n"/>
      <c r="D53" s="21" t="n"/>
      <c r="E53" s="21" t="n"/>
      <c r="F53" s="22" t="n"/>
      <c r="G53" s="21" t="n"/>
      <c r="H53" s="23">
        <f>IFERROR(IF(G53="","",VLOOKUP(G53,'Setup - Vehicles'!$A$5:$D$304,4,0)),"")</f>
        <v/>
      </c>
      <c r="I53" s="23">
        <f>IFERROR(IF(E53="","",VLOOKUP(E53,'Setup - Mix Design'!$A$5:$I$304,9,0)),"")</f>
        <v/>
      </c>
      <c r="J53" s="23">
        <f>IF(OR(F53="",I53=""),"",F53*I53)</f>
        <v/>
      </c>
      <c r="K53" s="21" t="n"/>
    </row>
    <row r="54">
      <c r="A54" s="26" t="n"/>
      <c r="B54" s="21" t="n"/>
      <c r="C54" s="21" t="n"/>
      <c r="D54" s="21" t="n"/>
      <c r="E54" s="21" t="n"/>
      <c r="F54" s="22" t="n"/>
      <c r="G54" s="21" t="n"/>
      <c r="H54" s="23">
        <f>IFERROR(IF(G54="","",VLOOKUP(G54,'Setup - Vehicles'!$A$5:$D$304,4,0)),"")</f>
        <v/>
      </c>
      <c r="I54" s="23">
        <f>IFERROR(IF(E54="","",VLOOKUP(E54,'Setup - Mix Design'!$A$5:$I$304,9,0)),"")</f>
        <v/>
      </c>
      <c r="J54" s="23">
        <f>IF(OR(F54="",I54=""),"",F54*I54)</f>
        <v/>
      </c>
      <c r="K54" s="21" t="n"/>
    </row>
    <row r="55">
      <c r="A55" s="26" t="n"/>
      <c r="B55" s="21" t="n"/>
      <c r="C55" s="21" t="n"/>
      <c r="D55" s="21" t="n"/>
      <c r="E55" s="21" t="n"/>
      <c r="F55" s="22" t="n"/>
      <c r="G55" s="21" t="n"/>
      <c r="H55" s="23">
        <f>IFERROR(IF(G55="","",VLOOKUP(G55,'Setup - Vehicles'!$A$5:$D$304,4,0)),"")</f>
        <v/>
      </c>
      <c r="I55" s="23">
        <f>IFERROR(IF(E55="","",VLOOKUP(E55,'Setup - Mix Design'!$A$5:$I$304,9,0)),"")</f>
        <v/>
      </c>
      <c r="J55" s="23">
        <f>IF(OR(F55="",I55=""),"",F55*I55)</f>
        <v/>
      </c>
      <c r="K55" s="21" t="n"/>
    </row>
    <row r="56">
      <c r="A56" s="26" t="n"/>
      <c r="B56" s="21" t="n"/>
      <c r="C56" s="21" t="n"/>
      <c r="D56" s="21" t="n"/>
      <c r="E56" s="21" t="n"/>
      <c r="F56" s="22" t="n"/>
      <c r="G56" s="21" t="n"/>
      <c r="H56" s="23">
        <f>IFERROR(IF(G56="","",VLOOKUP(G56,'Setup - Vehicles'!$A$5:$D$304,4,0)),"")</f>
        <v/>
      </c>
      <c r="I56" s="23">
        <f>IFERROR(IF(E56="","",VLOOKUP(E56,'Setup - Mix Design'!$A$5:$I$304,9,0)),"")</f>
        <v/>
      </c>
      <c r="J56" s="23">
        <f>IF(OR(F56="",I56=""),"",F56*I56)</f>
        <v/>
      </c>
      <c r="K56" s="21" t="n"/>
    </row>
    <row r="57">
      <c r="A57" s="26" t="n"/>
      <c r="B57" s="21" t="n"/>
      <c r="C57" s="21" t="n"/>
      <c r="D57" s="21" t="n"/>
      <c r="E57" s="21" t="n"/>
      <c r="F57" s="22" t="n"/>
      <c r="G57" s="21" t="n"/>
      <c r="H57" s="23">
        <f>IFERROR(IF(G57="","",VLOOKUP(G57,'Setup - Vehicles'!$A$5:$D$304,4,0)),"")</f>
        <v/>
      </c>
      <c r="I57" s="23">
        <f>IFERROR(IF(E57="","",VLOOKUP(E57,'Setup - Mix Design'!$A$5:$I$304,9,0)),"")</f>
        <v/>
      </c>
      <c r="J57" s="23">
        <f>IF(OR(F57="",I57=""),"",F57*I57)</f>
        <v/>
      </c>
      <c r="K57" s="21" t="n"/>
    </row>
    <row r="58">
      <c r="A58" s="26" t="n"/>
      <c r="B58" s="21" t="n"/>
      <c r="C58" s="21" t="n"/>
      <c r="D58" s="21" t="n"/>
      <c r="E58" s="21" t="n"/>
      <c r="F58" s="22" t="n"/>
      <c r="G58" s="21" t="n"/>
      <c r="H58" s="23">
        <f>IFERROR(IF(G58="","",VLOOKUP(G58,'Setup - Vehicles'!$A$5:$D$304,4,0)),"")</f>
        <v/>
      </c>
      <c r="I58" s="23">
        <f>IFERROR(IF(E58="","",VLOOKUP(E58,'Setup - Mix Design'!$A$5:$I$304,9,0)),"")</f>
        <v/>
      </c>
      <c r="J58" s="23">
        <f>IF(OR(F58="",I58=""),"",F58*I58)</f>
        <v/>
      </c>
      <c r="K58" s="21" t="n"/>
    </row>
    <row r="59">
      <c r="A59" s="26" t="n"/>
      <c r="B59" s="21" t="n"/>
      <c r="C59" s="21" t="n"/>
      <c r="D59" s="21" t="n"/>
      <c r="E59" s="21" t="n"/>
      <c r="F59" s="22" t="n"/>
      <c r="G59" s="21" t="n"/>
      <c r="H59" s="23">
        <f>IFERROR(IF(G59="","",VLOOKUP(G59,'Setup - Vehicles'!$A$5:$D$304,4,0)),"")</f>
        <v/>
      </c>
      <c r="I59" s="23">
        <f>IFERROR(IF(E59="","",VLOOKUP(E59,'Setup - Mix Design'!$A$5:$I$304,9,0)),"")</f>
        <v/>
      </c>
      <c r="J59" s="23">
        <f>IF(OR(F59="",I59=""),"",F59*I59)</f>
        <v/>
      </c>
      <c r="K59" s="21" t="n"/>
    </row>
    <row r="60">
      <c r="A60" s="26" t="n"/>
      <c r="B60" s="21" t="n"/>
      <c r="C60" s="21" t="n"/>
      <c r="D60" s="21" t="n"/>
      <c r="E60" s="21" t="n"/>
      <c r="F60" s="22" t="n"/>
      <c r="G60" s="21" t="n"/>
      <c r="H60" s="23">
        <f>IFERROR(IF(G60="","",VLOOKUP(G60,'Setup - Vehicles'!$A$5:$D$304,4,0)),"")</f>
        <v/>
      </c>
      <c r="I60" s="23">
        <f>IFERROR(IF(E60="","",VLOOKUP(E60,'Setup - Mix Design'!$A$5:$I$304,9,0)),"")</f>
        <v/>
      </c>
      <c r="J60" s="23">
        <f>IF(OR(F60="",I60=""),"",F60*I60)</f>
        <v/>
      </c>
      <c r="K60" s="21" t="n"/>
    </row>
    <row r="61">
      <c r="A61" s="26" t="n"/>
      <c r="B61" s="21" t="n"/>
      <c r="C61" s="21" t="n"/>
      <c r="D61" s="21" t="n"/>
      <c r="E61" s="21" t="n"/>
      <c r="F61" s="22" t="n"/>
      <c r="G61" s="21" t="n"/>
      <c r="H61" s="23">
        <f>IFERROR(IF(G61="","",VLOOKUP(G61,'Setup - Vehicles'!$A$5:$D$304,4,0)),"")</f>
        <v/>
      </c>
      <c r="I61" s="23">
        <f>IFERROR(IF(E61="","",VLOOKUP(E61,'Setup - Mix Design'!$A$5:$I$304,9,0)),"")</f>
        <v/>
      </c>
      <c r="J61" s="23">
        <f>IF(OR(F61="",I61=""),"",F61*I61)</f>
        <v/>
      </c>
      <c r="K61" s="21" t="n"/>
    </row>
    <row r="62">
      <c r="A62" s="26" t="n"/>
      <c r="B62" s="21" t="n"/>
      <c r="C62" s="21" t="n"/>
      <c r="D62" s="21" t="n"/>
      <c r="E62" s="21" t="n"/>
      <c r="F62" s="22" t="n"/>
      <c r="G62" s="21" t="n"/>
      <c r="H62" s="23">
        <f>IFERROR(IF(G62="","",VLOOKUP(G62,'Setup - Vehicles'!$A$5:$D$304,4,0)),"")</f>
        <v/>
      </c>
      <c r="I62" s="23">
        <f>IFERROR(IF(E62="","",VLOOKUP(E62,'Setup - Mix Design'!$A$5:$I$304,9,0)),"")</f>
        <v/>
      </c>
      <c r="J62" s="23">
        <f>IF(OR(F62="",I62=""),"",F62*I62)</f>
        <v/>
      </c>
      <c r="K62" s="21" t="n"/>
    </row>
    <row r="63">
      <c r="A63" s="26" t="n"/>
      <c r="B63" s="21" t="n"/>
      <c r="C63" s="21" t="n"/>
      <c r="D63" s="21" t="n"/>
      <c r="E63" s="21" t="n"/>
      <c r="F63" s="22" t="n"/>
      <c r="G63" s="21" t="n"/>
      <c r="H63" s="23">
        <f>IFERROR(IF(G63="","",VLOOKUP(G63,'Setup - Vehicles'!$A$5:$D$304,4,0)),"")</f>
        <v/>
      </c>
      <c r="I63" s="23">
        <f>IFERROR(IF(E63="","",VLOOKUP(E63,'Setup - Mix Design'!$A$5:$I$304,9,0)),"")</f>
        <v/>
      </c>
      <c r="J63" s="23">
        <f>IF(OR(F63="",I63=""),"",F63*I63)</f>
        <v/>
      </c>
      <c r="K63" s="21" t="n"/>
    </row>
    <row r="64">
      <c r="A64" s="26" t="n"/>
      <c r="B64" s="21" t="n"/>
      <c r="C64" s="21" t="n"/>
      <c r="D64" s="21" t="n"/>
      <c r="E64" s="21" t="n"/>
      <c r="F64" s="22" t="n"/>
      <c r="G64" s="21" t="n"/>
      <c r="H64" s="23">
        <f>IFERROR(IF(G64="","",VLOOKUP(G64,'Setup - Vehicles'!$A$5:$D$304,4,0)),"")</f>
        <v/>
      </c>
      <c r="I64" s="23">
        <f>IFERROR(IF(E64="","",VLOOKUP(E64,'Setup - Mix Design'!$A$5:$I$304,9,0)),"")</f>
        <v/>
      </c>
      <c r="J64" s="23">
        <f>IF(OR(F64="",I64=""),"",F64*I64)</f>
        <v/>
      </c>
      <c r="K64" s="21" t="n"/>
    </row>
    <row r="65">
      <c r="A65" s="26" t="n"/>
      <c r="B65" s="21" t="n"/>
      <c r="C65" s="21" t="n"/>
      <c r="D65" s="21" t="n"/>
      <c r="E65" s="21" t="n"/>
      <c r="F65" s="22" t="n"/>
      <c r="G65" s="21" t="n"/>
      <c r="H65" s="23">
        <f>IFERROR(IF(G65="","",VLOOKUP(G65,'Setup - Vehicles'!$A$5:$D$304,4,0)),"")</f>
        <v/>
      </c>
      <c r="I65" s="23">
        <f>IFERROR(IF(E65="","",VLOOKUP(E65,'Setup - Mix Design'!$A$5:$I$304,9,0)),"")</f>
        <v/>
      </c>
      <c r="J65" s="23">
        <f>IF(OR(F65="",I65=""),"",F65*I65)</f>
        <v/>
      </c>
      <c r="K65" s="21" t="n"/>
    </row>
    <row r="66">
      <c r="A66" s="26" t="n"/>
      <c r="B66" s="21" t="n"/>
      <c r="C66" s="21" t="n"/>
      <c r="D66" s="21" t="n"/>
      <c r="E66" s="21" t="n"/>
      <c r="F66" s="22" t="n"/>
      <c r="G66" s="21" t="n"/>
      <c r="H66" s="23">
        <f>IFERROR(IF(G66="","",VLOOKUP(G66,'Setup - Vehicles'!$A$5:$D$304,4,0)),"")</f>
        <v/>
      </c>
      <c r="I66" s="23">
        <f>IFERROR(IF(E66="","",VLOOKUP(E66,'Setup - Mix Design'!$A$5:$I$304,9,0)),"")</f>
        <v/>
      </c>
      <c r="J66" s="23">
        <f>IF(OR(F66="",I66=""),"",F66*I66)</f>
        <v/>
      </c>
      <c r="K66" s="21" t="n"/>
    </row>
    <row r="67">
      <c r="A67" s="26" t="n"/>
      <c r="B67" s="21" t="n"/>
      <c r="C67" s="21" t="n"/>
      <c r="D67" s="21" t="n"/>
      <c r="E67" s="21" t="n"/>
      <c r="F67" s="22" t="n"/>
      <c r="G67" s="21" t="n"/>
      <c r="H67" s="23">
        <f>IFERROR(IF(G67="","",VLOOKUP(G67,'Setup - Vehicles'!$A$5:$D$304,4,0)),"")</f>
        <v/>
      </c>
      <c r="I67" s="23">
        <f>IFERROR(IF(E67="","",VLOOKUP(E67,'Setup - Mix Design'!$A$5:$I$304,9,0)),"")</f>
        <v/>
      </c>
      <c r="J67" s="23">
        <f>IF(OR(F67="",I67=""),"",F67*I67)</f>
        <v/>
      </c>
      <c r="K67" s="21" t="n"/>
    </row>
    <row r="68">
      <c r="A68" s="26" t="n"/>
      <c r="B68" s="21" t="n"/>
      <c r="C68" s="21" t="n"/>
      <c r="D68" s="21" t="n"/>
      <c r="E68" s="21" t="n"/>
      <c r="F68" s="22" t="n"/>
      <c r="G68" s="21" t="n"/>
      <c r="H68" s="23">
        <f>IFERROR(IF(G68="","",VLOOKUP(G68,'Setup - Vehicles'!$A$5:$D$304,4,0)),"")</f>
        <v/>
      </c>
      <c r="I68" s="23">
        <f>IFERROR(IF(E68="","",VLOOKUP(E68,'Setup - Mix Design'!$A$5:$I$304,9,0)),"")</f>
        <v/>
      </c>
      <c r="J68" s="23">
        <f>IF(OR(F68="",I68=""),"",F68*I68)</f>
        <v/>
      </c>
      <c r="K68" s="21" t="n"/>
    </row>
    <row r="69">
      <c r="A69" s="26" t="n"/>
      <c r="B69" s="21" t="n"/>
      <c r="C69" s="21" t="n"/>
      <c r="D69" s="21" t="n"/>
      <c r="E69" s="21" t="n"/>
      <c r="F69" s="22" t="n"/>
      <c r="G69" s="21" t="n"/>
      <c r="H69" s="23">
        <f>IFERROR(IF(G69="","",VLOOKUP(G69,'Setup - Vehicles'!$A$5:$D$304,4,0)),"")</f>
        <v/>
      </c>
      <c r="I69" s="23">
        <f>IFERROR(IF(E69="","",VLOOKUP(E69,'Setup - Mix Design'!$A$5:$I$304,9,0)),"")</f>
        <v/>
      </c>
      <c r="J69" s="23">
        <f>IF(OR(F69="",I69=""),"",F69*I69)</f>
        <v/>
      </c>
      <c r="K69" s="21" t="n"/>
    </row>
    <row r="70">
      <c r="A70" s="26" t="n"/>
      <c r="B70" s="21" t="n"/>
      <c r="C70" s="21" t="n"/>
      <c r="D70" s="21" t="n"/>
      <c r="E70" s="21" t="n"/>
      <c r="F70" s="22" t="n"/>
      <c r="G70" s="21" t="n"/>
      <c r="H70" s="23">
        <f>IFERROR(IF(G70="","",VLOOKUP(G70,'Setup - Vehicles'!$A$5:$D$304,4,0)),"")</f>
        <v/>
      </c>
      <c r="I70" s="23">
        <f>IFERROR(IF(E70="","",VLOOKUP(E70,'Setup - Mix Design'!$A$5:$I$304,9,0)),"")</f>
        <v/>
      </c>
      <c r="J70" s="23">
        <f>IF(OR(F70="",I70=""),"",F70*I70)</f>
        <v/>
      </c>
      <c r="K70" s="21" t="n"/>
    </row>
    <row r="71">
      <c r="A71" s="26" t="n"/>
      <c r="B71" s="21" t="n"/>
      <c r="C71" s="21" t="n"/>
      <c r="D71" s="21" t="n"/>
      <c r="E71" s="21" t="n"/>
      <c r="F71" s="22" t="n"/>
      <c r="G71" s="21" t="n"/>
      <c r="H71" s="23">
        <f>IFERROR(IF(G71="","",VLOOKUP(G71,'Setup - Vehicles'!$A$5:$D$304,4,0)),"")</f>
        <v/>
      </c>
      <c r="I71" s="23">
        <f>IFERROR(IF(E71="","",VLOOKUP(E71,'Setup - Mix Design'!$A$5:$I$304,9,0)),"")</f>
        <v/>
      </c>
      <c r="J71" s="23">
        <f>IF(OR(F71="",I71=""),"",F71*I71)</f>
        <v/>
      </c>
      <c r="K71" s="21" t="n"/>
    </row>
    <row r="72">
      <c r="A72" s="26" t="n"/>
      <c r="B72" s="21" t="n"/>
      <c r="C72" s="21" t="n"/>
      <c r="D72" s="21" t="n"/>
      <c r="E72" s="21" t="n"/>
      <c r="F72" s="22" t="n"/>
      <c r="G72" s="21" t="n"/>
      <c r="H72" s="23">
        <f>IFERROR(IF(G72="","",VLOOKUP(G72,'Setup - Vehicles'!$A$5:$D$304,4,0)),"")</f>
        <v/>
      </c>
      <c r="I72" s="23">
        <f>IFERROR(IF(E72="","",VLOOKUP(E72,'Setup - Mix Design'!$A$5:$I$304,9,0)),"")</f>
        <v/>
      </c>
      <c r="J72" s="23">
        <f>IF(OR(F72="",I72=""),"",F72*I72)</f>
        <v/>
      </c>
      <c r="K72" s="21" t="n"/>
    </row>
    <row r="73">
      <c r="A73" s="26" t="n"/>
      <c r="B73" s="21" t="n"/>
      <c r="C73" s="21" t="n"/>
      <c r="D73" s="21" t="n"/>
      <c r="E73" s="21" t="n"/>
      <c r="F73" s="22" t="n"/>
      <c r="G73" s="21" t="n"/>
      <c r="H73" s="23">
        <f>IFERROR(IF(G73="","",VLOOKUP(G73,'Setup - Vehicles'!$A$5:$D$304,4,0)),"")</f>
        <v/>
      </c>
      <c r="I73" s="23">
        <f>IFERROR(IF(E73="","",VLOOKUP(E73,'Setup - Mix Design'!$A$5:$I$304,9,0)),"")</f>
        <v/>
      </c>
      <c r="J73" s="23">
        <f>IF(OR(F73="",I73=""),"",F73*I73)</f>
        <v/>
      </c>
      <c r="K73" s="21" t="n"/>
    </row>
    <row r="74">
      <c r="A74" s="26" t="n"/>
      <c r="B74" s="21" t="n"/>
      <c r="C74" s="21" t="n"/>
      <c r="D74" s="21" t="n"/>
      <c r="E74" s="21" t="n"/>
      <c r="F74" s="22" t="n"/>
      <c r="G74" s="21" t="n"/>
      <c r="H74" s="23">
        <f>IFERROR(IF(G74="","",VLOOKUP(G74,'Setup - Vehicles'!$A$5:$D$304,4,0)),"")</f>
        <v/>
      </c>
      <c r="I74" s="23">
        <f>IFERROR(IF(E74="","",VLOOKUP(E74,'Setup - Mix Design'!$A$5:$I$304,9,0)),"")</f>
        <v/>
      </c>
      <c r="J74" s="23">
        <f>IF(OR(F74="",I74=""),"",F74*I74)</f>
        <v/>
      </c>
      <c r="K74" s="21" t="n"/>
    </row>
    <row r="75">
      <c r="A75" s="26" t="n"/>
      <c r="B75" s="21" t="n"/>
      <c r="C75" s="21" t="n"/>
      <c r="D75" s="21" t="n"/>
      <c r="E75" s="21" t="n"/>
      <c r="F75" s="22" t="n"/>
      <c r="G75" s="21" t="n"/>
      <c r="H75" s="23">
        <f>IFERROR(IF(G75="","",VLOOKUP(G75,'Setup - Vehicles'!$A$5:$D$304,4,0)),"")</f>
        <v/>
      </c>
      <c r="I75" s="23">
        <f>IFERROR(IF(E75="","",VLOOKUP(E75,'Setup - Mix Design'!$A$5:$I$304,9,0)),"")</f>
        <v/>
      </c>
      <c r="J75" s="23">
        <f>IF(OR(F75="",I75=""),"",F75*I75)</f>
        <v/>
      </c>
      <c r="K75" s="21" t="n"/>
    </row>
    <row r="76">
      <c r="A76" s="26" t="n"/>
      <c r="B76" s="21" t="n"/>
      <c r="C76" s="21" t="n"/>
      <c r="D76" s="21" t="n"/>
      <c r="E76" s="21" t="n"/>
      <c r="F76" s="22" t="n"/>
      <c r="G76" s="21" t="n"/>
      <c r="H76" s="23">
        <f>IFERROR(IF(G76="","",VLOOKUP(G76,'Setup - Vehicles'!$A$5:$D$304,4,0)),"")</f>
        <v/>
      </c>
      <c r="I76" s="23">
        <f>IFERROR(IF(E76="","",VLOOKUP(E76,'Setup - Mix Design'!$A$5:$I$304,9,0)),"")</f>
        <v/>
      </c>
      <c r="J76" s="23">
        <f>IF(OR(F76="",I76=""),"",F76*I76)</f>
        <v/>
      </c>
      <c r="K76" s="21" t="n"/>
    </row>
    <row r="77">
      <c r="A77" s="26" t="n"/>
      <c r="B77" s="21" t="n"/>
      <c r="C77" s="21" t="n"/>
      <c r="D77" s="21" t="n"/>
      <c r="E77" s="21" t="n"/>
      <c r="F77" s="22" t="n"/>
      <c r="G77" s="21" t="n"/>
      <c r="H77" s="23">
        <f>IFERROR(IF(G77="","",VLOOKUP(G77,'Setup - Vehicles'!$A$5:$D$304,4,0)),"")</f>
        <v/>
      </c>
      <c r="I77" s="23">
        <f>IFERROR(IF(E77="","",VLOOKUP(E77,'Setup - Mix Design'!$A$5:$I$304,9,0)),"")</f>
        <v/>
      </c>
      <c r="J77" s="23">
        <f>IF(OR(F77="",I77=""),"",F77*I77)</f>
        <v/>
      </c>
      <c r="K77" s="21" t="n"/>
    </row>
    <row r="78">
      <c r="A78" s="26" t="n"/>
      <c r="B78" s="21" t="n"/>
      <c r="C78" s="21" t="n"/>
      <c r="D78" s="21" t="n"/>
      <c r="E78" s="21" t="n"/>
      <c r="F78" s="22" t="n"/>
      <c r="G78" s="21" t="n"/>
      <c r="H78" s="23">
        <f>IFERROR(IF(G78="","",VLOOKUP(G78,'Setup - Vehicles'!$A$5:$D$304,4,0)),"")</f>
        <v/>
      </c>
      <c r="I78" s="23">
        <f>IFERROR(IF(E78="","",VLOOKUP(E78,'Setup - Mix Design'!$A$5:$I$304,9,0)),"")</f>
        <v/>
      </c>
      <c r="J78" s="23">
        <f>IF(OR(F78="",I78=""),"",F78*I78)</f>
        <v/>
      </c>
      <c r="K78" s="21" t="n"/>
    </row>
    <row r="79">
      <c r="A79" s="26" t="n"/>
      <c r="B79" s="21" t="n"/>
      <c r="C79" s="21" t="n"/>
      <c r="D79" s="21" t="n"/>
      <c r="E79" s="21" t="n"/>
      <c r="F79" s="22" t="n"/>
      <c r="G79" s="21" t="n"/>
      <c r="H79" s="23">
        <f>IFERROR(IF(G79="","",VLOOKUP(G79,'Setup - Vehicles'!$A$5:$D$304,4,0)),"")</f>
        <v/>
      </c>
      <c r="I79" s="23">
        <f>IFERROR(IF(E79="","",VLOOKUP(E79,'Setup - Mix Design'!$A$5:$I$304,9,0)),"")</f>
        <v/>
      </c>
      <c r="J79" s="23">
        <f>IF(OR(F79="",I79=""),"",F79*I79)</f>
        <v/>
      </c>
      <c r="K79" s="21" t="n"/>
    </row>
    <row r="80">
      <c r="A80" s="26" t="n"/>
      <c r="B80" s="21" t="n"/>
      <c r="C80" s="21" t="n"/>
      <c r="D80" s="21" t="n"/>
      <c r="E80" s="21" t="n"/>
      <c r="F80" s="22" t="n"/>
      <c r="G80" s="21" t="n"/>
      <c r="H80" s="23">
        <f>IFERROR(IF(G80="","",VLOOKUP(G80,'Setup - Vehicles'!$A$5:$D$304,4,0)),"")</f>
        <v/>
      </c>
      <c r="I80" s="23">
        <f>IFERROR(IF(E80="","",VLOOKUP(E80,'Setup - Mix Design'!$A$5:$I$304,9,0)),"")</f>
        <v/>
      </c>
      <c r="J80" s="23">
        <f>IF(OR(F80="",I80=""),"",F80*I80)</f>
        <v/>
      </c>
      <c r="K80" s="21" t="n"/>
    </row>
    <row r="81">
      <c r="A81" s="26" t="n"/>
      <c r="B81" s="21" t="n"/>
      <c r="C81" s="21" t="n"/>
      <c r="D81" s="21" t="n"/>
      <c r="E81" s="21" t="n"/>
      <c r="F81" s="22" t="n"/>
      <c r="G81" s="21" t="n"/>
      <c r="H81" s="23">
        <f>IFERROR(IF(G81="","",VLOOKUP(G81,'Setup - Vehicles'!$A$5:$D$304,4,0)),"")</f>
        <v/>
      </c>
      <c r="I81" s="23">
        <f>IFERROR(IF(E81="","",VLOOKUP(E81,'Setup - Mix Design'!$A$5:$I$304,9,0)),"")</f>
        <v/>
      </c>
      <c r="J81" s="23">
        <f>IF(OR(F81="",I81=""),"",F81*I81)</f>
        <v/>
      </c>
      <c r="K81" s="21" t="n"/>
    </row>
    <row r="82">
      <c r="A82" s="26" t="n"/>
      <c r="B82" s="21" t="n"/>
      <c r="C82" s="21" t="n"/>
      <c r="D82" s="21" t="n"/>
      <c r="E82" s="21" t="n"/>
      <c r="F82" s="22" t="n"/>
      <c r="G82" s="21" t="n"/>
      <c r="H82" s="23">
        <f>IFERROR(IF(G82="","",VLOOKUP(G82,'Setup - Vehicles'!$A$5:$D$304,4,0)),"")</f>
        <v/>
      </c>
      <c r="I82" s="23">
        <f>IFERROR(IF(E82="","",VLOOKUP(E82,'Setup - Mix Design'!$A$5:$I$304,9,0)),"")</f>
        <v/>
      </c>
      <c r="J82" s="23">
        <f>IF(OR(F82="",I82=""),"",F82*I82)</f>
        <v/>
      </c>
      <c r="K82" s="21" t="n"/>
    </row>
    <row r="83">
      <c r="A83" s="26" t="n"/>
      <c r="B83" s="21" t="n"/>
      <c r="C83" s="21" t="n"/>
      <c r="D83" s="21" t="n"/>
      <c r="E83" s="21" t="n"/>
      <c r="F83" s="22" t="n"/>
      <c r="G83" s="21" t="n"/>
      <c r="H83" s="23">
        <f>IFERROR(IF(G83="","",VLOOKUP(G83,'Setup - Vehicles'!$A$5:$D$304,4,0)),"")</f>
        <v/>
      </c>
      <c r="I83" s="23">
        <f>IFERROR(IF(E83="","",VLOOKUP(E83,'Setup - Mix Design'!$A$5:$I$304,9,0)),"")</f>
        <v/>
      </c>
      <c r="J83" s="23">
        <f>IF(OR(F83="",I83=""),"",F83*I83)</f>
        <v/>
      </c>
      <c r="K83" s="21" t="n"/>
    </row>
    <row r="84">
      <c r="A84" s="26" t="n"/>
      <c r="B84" s="21" t="n"/>
      <c r="C84" s="21" t="n"/>
      <c r="D84" s="21" t="n"/>
      <c r="E84" s="21" t="n"/>
      <c r="F84" s="22" t="n"/>
      <c r="G84" s="21" t="n"/>
      <c r="H84" s="23">
        <f>IFERROR(IF(G84="","",VLOOKUP(G84,'Setup - Vehicles'!$A$5:$D$304,4,0)),"")</f>
        <v/>
      </c>
      <c r="I84" s="23">
        <f>IFERROR(IF(E84="","",VLOOKUP(E84,'Setup - Mix Design'!$A$5:$I$304,9,0)),"")</f>
        <v/>
      </c>
      <c r="J84" s="23">
        <f>IF(OR(F84="",I84=""),"",F84*I84)</f>
        <v/>
      </c>
      <c r="K84" s="21" t="n"/>
    </row>
    <row r="85">
      <c r="A85" s="26" t="n"/>
      <c r="B85" s="21" t="n"/>
      <c r="C85" s="21" t="n"/>
      <c r="D85" s="21" t="n"/>
      <c r="E85" s="21" t="n"/>
      <c r="F85" s="22" t="n"/>
      <c r="G85" s="21" t="n"/>
      <c r="H85" s="23">
        <f>IFERROR(IF(G85="","",VLOOKUP(G85,'Setup - Vehicles'!$A$5:$D$304,4,0)),"")</f>
        <v/>
      </c>
      <c r="I85" s="23">
        <f>IFERROR(IF(E85="","",VLOOKUP(E85,'Setup - Mix Design'!$A$5:$I$304,9,0)),"")</f>
        <v/>
      </c>
      <c r="J85" s="23">
        <f>IF(OR(F85="",I85=""),"",F85*I85)</f>
        <v/>
      </c>
      <c r="K85" s="21" t="n"/>
    </row>
    <row r="86">
      <c r="A86" s="26" t="n"/>
      <c r="B86" s="21" t="n"/>
      <c r="C86" s="21" t="n"/>
      <c r="D86" s="21" t="n"/>
      <c r="E86" s="21" t="n"/>
      <c r="F86" s="22" t="n"/>
      <c r="G86" s="21" t="n"/>
      <c r="H86" s="23">
        <f>IFERROR(IF(G86="","",VLOOKUP(G86,'Setup - Vehicles'!$A$5:$D$304,4,0)),"")</f>
        <v/>
      </c>
      <c r="I86" s="23">
        <f>IFERROR(IF(E86="","",VLOOKUP(E86,'Setup - Mix Design'!$A$5:$I$304,9,0)),"")</f>
        <v/>
      </c>
      <c r="J86" s="23">
        <f>IF(OR(F86="",I86=""),"",F86*I86)</f>
        <v/>
      </c>
      <c r="K86" s="21" t="n"/>
    </row>
    <row r="87">
      <c r="A87" s="26" t="n"/>
      <c r="B87" s="21" t="n"/>
      <c r="C87" s="21" t="n"/>
      <c r="D87" s="21" t="n"/>
      <c r="E87" s="21" t="n"/>
      <c r="F87" s="22" t="n"/>
      <c r="G87" s="21" t="n"/>
      <c r="H87" s="23">
        <f>IFERROR(IF(G87="","",VLOOKUP(G87,'Setup - Vehicles'!$A$5:$D$304,4,0)),"")</f>
        <v/>
      </c>
      <c r="I87" s="23">
        <f>IFERROR(IF(E87="","",VLOOKUP(E87,'Setup - Mix Design'!$A$5:$I$304,9,0)),"")</f>
        <v/>
      </c>
      <c r="J87" s="23">
        <f>IF(OR(F87="",I87=""),"",F87*I87)</f>
        <v/>
      </c>
      <c r="K87" s="21" t="n"/>
    </row>
    <row r="88">
      <c r="A88" s="26" t="n"/>
      <c r="B88" s="21" t="n"/>
      <c r="C88" s="21" t="n"/>
      <c r="D88" s="21" t="n"/>
      <c r="E88" s="21" t="n"/>
      <c r="F88" s="22" t="n"/>
      <c r="G88" s="21" t="n"/>
      <c r="H88" s="23">
        <f>IFERROR(IF(G88="","",VLOOKUP(G88,'Setup - Vehicles'!$A$5:$D$304,4,0)),"")</f>
        <v/>
      </c>
      <c r="I88" s="23">
        <f>IFERROR(IF(E88="","",VLOOKUP(E88,'Setup - Mix Design'!$A$5:$I$304,9,0)),"")</f>
        <v/>
      </c>
      <c r="J88" s="23">
        <f>IF(OR(F88="",I88=""),"",F88*I88)</f>
        <v/>
      </c>
      <c r="K88" s="21" t="n"/>
    </row>
    <row r="89">
      <c r="A89" s="26" t="n"/>
      <c r="B89" s="21" t="n"/>
      <c r="C89" s="21" t="n"/>
      <c r="D89" s="21" t="n"/>
      <c r="E89" s="21" t="n"/>
      <c r="F89" s="22" t="n"/>
      <c r="G89" s="21" t="n"/>
      <c r="H89" s="23">
        <f>IFERROR(IF(G89="","",VLOOKUP(G89,'Setup - Vehicles'!$A$5:$D$304,4,0)),"")</f>
        <v/>
      </c>
      <c r="I89" s="23">
        <f>IFERROR(IF(E89="","",VLOOKUP(E89,'Setup - Mix Design'!$A$5:$I$304,9,0)),"")</f>
        <v/>
      </c>
      <c r="J89" s="23">
        <f>IF(OR(F89="",I89=""),"",F89*I89)</f>
        <v/>
      </c>
      <c r="K89" s="21" t="n"/>
    </row>
    <row r="90">
      <c r="A90" s="26" t="n"/>
      <c r="B90" s="21" t="n"/>
      <c r="C90" s="21" t="n"/>
      <c r="D90" s="21" t="n"/>
      <c r="E90" s="21" t="n"/>
      <c r="F90" s="22" t="n"/>
      <c r="G90" s="21" t="n"/>
      <c r="H90" s="23">
        <f>IFERROR(IF(G90="","",VLOOKUP(G90,'Setup - Vehicles'!$A$5:$D$304,4,0)),"")</f>
        <v/>
      </c>
      <c r="I90" s="23">
        <f>IFERROR(IF(E90="","",VLOOKUP(E90,'Setup - Mix Design'!$A$5:$I$304,9,0)),"")</f>
        <v/>
      </c>
      <c r="J90" s="23">
        <f>IF(OR(F90="",I90=""),"",F90*I90)</f>
        <v/>
      </c>
      <c r="K90" s="21" t="n"/>
    </row>
    <row r="91">
      <c r="A91" s="26" t="n"/>
      <c r="B91" s="21" t="n"/>
      <c r="C91" s="21" t="n"/>
      <c r="D91" s="21" t="n"/>
      <c r="E91" s="21" t="n"/>
      <c r="F91" s="22" t="n"/>
      <c r="G91" s="21" t="n"/>
      <c r="H91" s="23">
        <f>IFERROR(IF(G91="","",VLOOKUP(G91,'Setup - Vehicles'!$A$5:$D$304,4,0)),"")</f>
        <v/>
      </c>
      <c r="I91" s="23">
        <f>IFERROR(IF(E91="","",VLOOKUP(E91,'Setup - Mix Design'!$A$5:$I$304,9,0)),"")</f>
        <v/>
      </c>
      <c r="J91" s="23">
        <f>IF(OR(F91="",I91=""),"",F91*I91)</f>
        <v/>
      </c>
      <c r="K91" s="21" t="n"/>
    </row>
    <row r="92">
      <c r="A92" s="26" t="n"/>
      <c r="B92" s="21" t="n"/>
      <c r="C92" s="21" t="n"/>
      <c r="D92" s="21" t="n"/>
      <c r="E92" s="21" t="n"/>
      <c r="F92" s="22" t="n"/>
      <c r="G92" s="21" t="n"/>
      <c r="H92" s="23">
        <f>IFERROR(IF(G92="","",VLOOKUP(G92,'Setup - Vehicles'!$A$5:$D$304,4,0)),"")</f>
        <v/>
      </c>
      <c r="I92" s="23">
        <f>IFERROR(IF(E92="","",VLOOKUP(E92,'Setup - Mix Design'!$A$5:$I$304,9,0)),"")</f>
        <v/>
      </c>
      <c r="J92" s="23">
        <f>IF(OR(F92="",I92=""),"",F92*I92)</f>
        <v/>
      </c>
      <c r="K92" s="21" t="n"/>
    </row>
    <row r="93">
      <c r="A93" s="26" t="n"/>
      <c r="B93" s="21" t="n"/>
      <c r="C93" s="21" t="n"/>
      <c r="D93" s="21" t="n"/>
      <c r="E93" s="21" t="n"/>
      <c r="F93" s="22" t="n"/>
      <c r="G93" s="21" t="n"/>
      <c r="H93" s="23">
        <f>IFERROR(IF(G93="","",VLOOKUP(G93,'Setup - Vehicles'!$A$5:$D$304,4,0)),"")</f>
        <v/>
      </c>
      <c r="I93" s="23">
        <f>IFERROR(IF(E93="","",VLOOKUP(E93,'Setup - Mix Design'!$A$5:$I$304,9,0)),"")</f>
        <v/>
      </c>
      <c r="J93" s="23">
        <f>IF(OR(F93="",I93=""),"",F93*I93)</f>
        <v/>
      </c>
      <c r="K93" s="21" t="n"/>
    </row>
    <row r="94">
      <c r="A94" s="26" t="n"/>
      <c r="B94" s="21" t="n"/>
      <c r="C94" s="21" t="n"/>
      <c r="D94" s="21" t="n"/>
      <c r="E94" s="21" t="n"/>
      <c r="F94" s="22" t="n"/>
      <c r="G94" s="21" t="n"/>
      <c r="H94" s="23">
        <f>IFERROR(IF(G94="","",VLOOKUP(G94,'Setup - Vehicles'!$A$5:$D$304,4,0)),"")</f>
        <v/>
      </c>
      <c r="I94" s="23">
        <f>IFERROR(IF(E94="","",VLOOKUP(E94,'Setup - Mix Design'!$A$5:$I$304,9,0)),"")</f>
        <v/>
      </c>
      <c r="J94" s="23">
        <f>IF(OR(F94="",I94=""),"",F94*I94)</f>
        <v/>
      </c>
      <c r="K94" s="21" t="n"/>
    </row>
    <row r="95">
      <c r="A95" s="26" t="n"/>
      <c r="B95" s="21" t="n"/>
      <c r="C95" s="21" t="n"/>
      <c r="D95" s="21" t="n"/>
      <c r="E95" s="21" t="n"/>
      <c r="F95" s="22" t="n"/>
      <c r="G95" s="21" t="n"/>
      <c r="H95" s="23">
        <f>IFERROR(IF(G95="","",VLOOKUP(G95,'Setup - Vehicles'!$A$5:$D$304,4,0)),"")</f>
        <v/>
      </c>
      <c r="I95" s="23">
        <f>IFERROR(IF(E95="","",VLOOKUP(E95,'Setup - Mix Design'!$A$5:$I$304,9,0)),"")</f>
        <v/>
      </c>
      <c r="J95" s="23">
        <f>IF(OR(F95="",I95=""),"",F95*I95)</f>
        <v/>
      </c>
      <c r="K95" s="21" t="n"/>
    </row>
    <row r="96">
      <c r="A96" s="26" t="n"/>
      <c r="B96" s="21" t="n"/>
      <c r="C96" s="21" t="n"/>
      <c r="D96" s="21" t="n"/>
      <c r="E96" s="21" t="n"/>
      <c r="F96" s="22" t="n"/>
      <c r="G96" s="21" t="n"/>
      <c r="H96" s="23">
        <f>IFERROR(IF(G96="","",VLOOKUP(G96,'Setup - Vehicles'!$A$5:$D$304,4,0)),"")</f>
        <v/>
      </c>
      <c r="I96" s="23">
        <f>IFERROR(IF(E96="","",VLOOKUP(E96,'Setup - Mix Design'!$A$5:$I$304,9,0)),"")</f>
        <v/>
      </c>
      <c r="J96" s="23">
        <f>IF(OR(F96="",I96=""),"",F96*I96)</f>
        <v/>
      </c>
      <c r="K96" s="21" t="n"/>
    </row>
    <row r="97">
      <c r="A97" s="26" t="n"/>
      <c r="B97" s="21" t="n"/>
      <c r="C97" s="21" t="n"/>
      <c r="D97" s="21" t="n"/>
      <c r="E97" s="21" t="n"/>
      <c r="F97" s="22" t="n"/>
      <c r="G97" s="21" t="n"/>
      <c r="H97" s="23">
        <f>IFERROR(IF(G97="","",VLOOKUP(G97,'Setup - Vehicles'!$A$5:$D$304,4,0)),"")</f>
        <v/>
      </c>
      <c r="I97" s="23">
        <f>IFERROR(IF(E97="","",VLOOKUP(E97,'Setup - Mix Design'!$A$5:$I$304,9,0)),"")</f>
        <v/>
      </c>
      <c r="J97" s="23">
        <f>IF(OR(F97="",I97=""),"",F97*I97)</f>
        <v/>
      </c>
      <c r="K97" s="21" t="n"/>
    </row>
    <row r="98">
      <c r="A98" s="26" t="n"/>
      <c r="B98" s="21" t="n"/>
      <c r="C98" s="21" t="n"/>
      <c r="D98" s="21" t="n"/>
      <c r="E98" s="21" t="n"/>
      <c r="F98" s="22" t="n"/>
      <c r="G98" s="21" t="n"/>
      <c r="H98" s="23">
        <f>IFERROR(IF(G98="","",VLOOKUP(G98,'Setup - Vehicles'!$A$5:$D$304,4,0)),"")</f>
        <v/>
      </c>
      <c r="I98" s="23">
        <f>IFERROR(IF(E98="","",VLOOKUP(E98,'Setup - Mix Design'!$A$5:$I$304,9,0)),"")</f>
        <v/>
      </c>
      <c r="J98" s="23">
        <f>IF(OR(F98="",I98=""),"",F98*I98)</f>
        <v/>
      </c>
      <c r="K98" s="21" t="n"/>
    </row>
    <row r="99">
      <c r="A99" s="26" t="n"/>
      <c r="B99" s="21" t="n"/>
      <c r="C99" s="21" t="n"/>
      <c r="D99" s="21" t="n"/>
      <c r="E99" s="21" t="n"/>
      <c r="F99" s="22" t="n"/>
      <c r="G99" s="21" t="n"/>
      <c r="H99" s="23">
        <f>IFERROR(IF(G99="","",VLOOKUP(G99,'Setup - Vehicles'!$A$5:$D$304,4,0)),"")</f>
        <v/>
      </c>
      <c r="I99" s="23">
        <f>IFERROR(IF(E99="","",VLOOKUP(E99,'Setup - Mix Design'!$A$5:$I$304,9,0)),"")</f>
        <v/>
      </c>
      <c r="J99" s="23">
        <f>IF(OR(F99="",I99=""),"",F99*I99)</f>
        <v/>
      </c>
      <c r="K99" s="21" t="n"/>
    </row>
    <row r="100">
      <c r="A100" s="26" t="n"/>
      <c r="B100" s="21" t="n"/>
      <c r="C100" s="21" t="n"/>
      <c r="D100" s="21" t="n"/>
      <c r="E100" s="21" t="n"/>
      <c r="F100" s="22" t="n"/>
      <c r="G100" s="21" t="n"/>
      <c r="H100" s="23">
        <f>IFERROR(IF(G100="","",VLOOKUP(G100,'Setup - Vehicles'!$A$5:$D$304,4,0)),"")</f>
        <v/>
      </c>
      <c r="I100" s="23">
        <f>IFERROR(IF(E100="","",VLOOKUP(E100,'Setup - Mix Design'!$A$5:$I$304,9,0)),"")</f>
        <v/>
      </c>
      <c r="J100" s="23">
        <f>IF(OR(F100="",I100=""),"",F100*I100)</f>
        <v/>
      </c>
      <c r="K100" s="21" t="n"/>
    </row>
    <row r="101">
      <c r="A101" s="26" t="n"/>
      <c r="B101" s="21" t="n"/>
      <c r="C101" s="21" t="n"/>
      <c r="D101" s="21" t="n"/>
      <c r="E101" s="21" t="n"/>
      <c r="F101" s="22" t="n"/>
      <c r="G101" s="21" t="n"/>
      <c r="H101" s="23">
        <f>IFERROR(IF(G101="","",VLOOKUP(G101,'Setup - Vehicles'!$A$5:$D$304,4,0)),"")</f>
        <v/>
      </c>
      <c r="I101" s="23">
        <f>IFERROR(IF(E101="","",VLOOKUP(E101,'Setup - Mix Design'!$A$5:$I$304,9,0)),"")</f>
        <v/>
      </c>
      <c r="J101" s="23">
        <f>IF(OR(F101="",I101=""),"",F101*I101)</f>
        <v/>
      </c>
      <c r="K101" s="21" t="n"/>
    </row>
    <row r="102">
      <c r="A102" s="26" t="n"/>
      <c r="B102" s="21" t="n"/>
      <c r="C102" s="21" t="n"/>
      <c r="D102" s="21" t="n"/>
      <c r="E102" s="21" t="n"/>
      <c r="F102" s="22" t="n"/>
      <c r="G102" s="21" t="n"/>
      <c r="H102" s="23">
        <f>IFERROR(IF(G102="","",VLOOKUP(G102,'Setup - Vehicles'!$A$5:$D$304,4,0)),"")</f>
        <v/>
      </c>
      <c r="I102" s="23">
        <f>IFERROR(IF(E102="","",VLOOKUP(E102,'Setup - Mix Design'!$A$5:$I$304,9,0)),"")</f>
        <v/>
      </c>
      <c r="J102" s="23">
        <f>IF(OR(F102="",I102=""),"",F102*I102)</f>
        <v/>
      </c>
      <c r="K102" s="21" t="n"/>
    </row>
    <row r="103">
      <c r="A103" s="26" t="n"/>
      <c r="B103" s="21" t="n"/>
      <c r="C103" s="21" t="n"/>
      <c r="D103" s="21" t="n"/>
      <c r="E103" s="21" t="n"/>
      <c r="F103" s="22" t="n"/>
      <c r="G103" s="21" t="n"/>
      <c r="H103" s="23">
        <f>IFERROR(IF(G103="","",VLOOKUP(G103,'Setup - Vehicles'!$A$5:$D$304,4,0)),"")</f>
        <v/>
      </c>
      <c r="I103" s="23">
        <f>IFERROR(IF(E103="","",VLOOKUP(E103,'Setup - Mix Design'!$A$5:$I$304,9,0)),"")</f>
        <v/>
      </c>
      <c r="J103" s="23">
        <f>IF(OR(F103="",I103=""),"",F103*I103)</f>
        <v/>
      </c>
      <c r="K103" s="21" t="n"/>
    </row>
    <row r="104">
      <c r="A104" s="26" t="n"/>
      <c r="B104" s="21" t="n"/>
      <c r="C104" s="21" t="n"/>
      <c r="D104" s="21" t="n"/>
      <c r="E104" s="21" t="n"/>
      <c r="F104" s="22" t="n"/>
      <c r="G104" s="21" t="n"/>
      <c r="H104" s="23">
        <f>IFERROR(IF(G104="","",VLOOKUP(G104,'Setup - Vehicles'!$A$5:$D$304,4,0)),"")</f>
        <v/>
      </c>
      <c r="I104" s="23">
        <f>IFERROR(IF(E104="","",VLOOKUP(E104,'Setup - Mix Design'!$A$5:$I$304,9,0)),"")</f>
        <v/>
      </c>
      <c r="J104" s="23">
        <f>IF(OR(F104="",I104=""),"",F104*I104)</f>
        <v/>
      </c>
      <c r="K104" s="21" t="n"/>
    </row>
    <row r="105">
      <c r="A105" s="26" t="n"/>
      <c r="B105" s="21" t="n"/>
      <c r="C105" s="21" t="n"/>
      <c r="D105" s="21" t="n"/>
      <c r="E105" s="21" t="n"/>
      <c r="F105" s="22" t="n"/>
      <c r="G105" s="21" t="n"/>
      <c r="H105" s="23">
        <f>IFERROR(IF(G105="","",VLOOKUP(G105,'Setup - Vehicles'!$A$5:$D$304,4,0)),"")</f>
        <v/>
      </c>
      <c r="I105" s="23">
        <f>IFERROR(IF(E105="","",VLOOKUP(E105,'Setup - Mix Design'!$A$5:$I$304,9,0)),"")</f>
        <v/>
      </c>
      <c r="J105" s="23">
        <f>IF(OR(F105="",I105=""),"",F105*I105)</f>
        <v/>
      </c>
      <c r="K105" s="21" t="n"/>
    </row>
    <row r="106">
      <c r="A106" s="26" t="n"/>
      <c r="B106" s="21" t="n"/>
      <c r="C106" s="21" t="n"/>
      <c r="D106" s="21" t="n"/>
      <c r="E106" s="21" t="n"/>
      <c r="F106" s="22" t="n"/>
      <c r="G106" s="21" t="n"/>
      <c r="H106" s="23">
        <f>IFERROR(IF(G106="","",VLOOKUP(G106,'Setup - Vehicles'!$A$5:$D$304,4,0)),"")</f>
        <v/>
      </c>
      <c r="I106" s="23">
        <f>IFERROR(IF(E106="","",VLOOKUP(E106,'Setup - Mix Design'!$A$5:$I$304,9,0)),"")</f>
        <v/>
      </c>
      <c r="J106" s="23">
        <f>IF(OR(F106="",I106=""),"",F106*I106)</f>
        <v/>
      </c>
      <c r="K106" s="21" t="n"/>
    </row>
    <row r="107">
      <c r="A107" s="26" t="n"/>
      <c r="B107" s="21" t="n"/>
      <c r="C107" s="21" t="n"/>
      <c r="D107" s="21" t="n"/>
      <c r="E107" s="21" t="n"/>
      <c r="F107" s="22" t="n"/>
      <c r="G107" s="21" t="n"/>
      <c r="H107" s="23">
        <f>IFERROR(IF(G107="","",VLOOKUP(G107,'Setup - Vehicles'!$A$5:$D$304,4,0)),"")</f>
        <v/>
      </c>
      <c r="I107" s="23">
        <f>IFERROR(IF(E107="","",VLOOKUP(E107,'Setup - Mix Design'!$A$5:$I$304,9,0)),"")</f>
        <v/>
      </c>
      <c r="J107" s="23">
        <f>IF(OR(F107="",I107=""),"",F107*I107)</f>
        <v/>
      </c>
      <c r="K107" s="21" t="n"/>
    </row>
    <row r="108">
      <c r="A108" s="26" t="n"/>
      <c r="B108" s="21" t="n"/>
      <c r="C108" s="21" t="n"/>
      <c r="D108" s="21" t="n"/>
      <c r="E108" s="21" t="n"/>
      <c r="F108" s="22" t="n"/>
      <c r="G108" s="21" t="n"/>
      <c r="H108" s="23">
        <f>IFERROR(IF(G108="","",VLOOKUP(G108,'Setup - Vehicles'!$A$5:$D$304,4,0)),"")</f>
        <v/>
      </c>
      <c r="I108" s="23">
        <f>IFERROR(IF(E108="","",VLOOKUP(E108,'Setup - Mix Design'!$A$5:$I$304,9,0)),"")</f>
        <v/>
      </c>
      <c r="J108" s="23">
        <f>IF(OR(F108="",I108=""),"",F108*I108)</f>
        <v/>
      </c>
      <c r="K108" s="21" t="n"/>
    </row>
    <row r="109">
      <c r="A109" s="26" t="n"/>
      <c r="B109" s="21" t="n"/>
      <c r="C109" s="21" t="n"/>
      <c r="D109" s="21" t="n"/>
      <c r="E109" s="21" t="n"/>
      <c r="F109" s="22" t="n"/>
      <c r="G109" s="21" t="n"/>
      <c r="H109" s="23">
        <f>IFERROR(IF(G109="","",VLOOKUP(G109,'Setup - Vehicles'!$A$5:$D$304,4,0)),"")</f>
        <v/>
      </c>
      <c r="I109" s="23">
        <f>IFERROR(IF(E109="","",VLOOKUP(E109,'Setup - Mix Design'!$A$5:$I$304,9,0)),"")</f>
        <v/>
      </c>
      <c r="J109" s="23">
        <f>IF(OR(F109="",I109=""),"",F109*I109)</f>
        <v/>
      </c>
      <c r="K109" s="21" t="n"/>
    </row>
    <row r="110">
      <c r="A110" s="26" t="n"/>
      <c r="B110" s="21" t="n"/>
      <c r="C110" s="21" t="n"/>
      <c r="D110" s="21" t="n"/>
      <c r="E110" s="21" t="n"/>
      <c r="F110" s="22" t="n"/>
      <c r="G110" s="21" t="n"/>
      <c r="H110" s="23">
        <f>IFERROR(IF(G110="","",VLOOKUP(G110,'Setup - Vehicles'!$A$5:$D$304,4,0)),"")</f>
        <v/>
      </c>
      <c r="I110" s="23">
        <f>IFERROR(IF(E110="","",VLOOKUP(E110,'Setup - Mix Design'!$A$5:$I$304,9,0)),"")</f>
        <v/>
      </c>
      <c r="J110" s="23">
        <f>IF(OR(F110="",I110=""),"",F110*I110)</f>
        <v/>
      </c>
      <c r="K110" s="21" t="n"/>
    </row>
    <row r="111">
      <c r="A111" s="26" t="n"/>
      <c r="B111" s="21" t="n"/>
      <c r="C111" s="21" t="n"/>
      <c r="D111" s="21" t="n"/>
      <c r="E111" s="21" t="n"/>
      <c r="F111" s="22" t="n"/>
      <c r="G111" s="21" t="n"/>
      <c r="H111" s="23">
        <f>IFERROR(IF(G111="","",VLOOKUP(G111,'Setup - Vehicles'!$A$5:$D$304,4,0)),"")</f>
        <v/>
      </c>
      <c r="I111" s="23">
        <f>IFERROR(IF(E111="","",VLOOKUP(E111,'Setup - Mix Design'!$A$5:$I$304,9,0)),"")</f>
        <v/>
      </c>
      <c r="J111" s="23">
        <f>IF(OR(F111="",I111=""),"",F111*I111)</f>
        <v/>
      </c>
      <c r="K111" s="21" t="n"/>
    </row>
    <row r="112">
      <c r="A112" s="26" t="n"/>
      <c r="B112" s="21" t="n"/>
      <c r="C112" s="21" t="n"/>
      <c r="D112" s="21" t="n"/>
      <c r="E112" s="21" t="n"/>
      <c r="F112" s="22" t="n"/>
      <c r="G112" s="21" t="n"/>
      <c r="H112" s="23">
        <f>IFERROR(IF(G112="","",VLOOKUP(G112,'Setup - Vehicles'!$A$5:$D$304,4,0)),"")</f>
        <v/>
      </c>
      <c r="I112" s="23">
        <f>IFERROR(IF(E112="","",VLOOKUP(E112,'Setup - Mix Design'!$A$5:$I$304,9,0)),"")</f>
        <v/>
      </c>
      <c r="J112" s="23">
        <f>IF(OR(F112="",I112=""),"",F112*I112)</f>
        <v/>
      </c>
      <c r="K112" s="21" t="n"/>
    </row>
    <row r="113">
      <c r="A113" s="26" t="n"/>
      <c r="B113" s="21" t="n"/>
      <c r="C113" s="21" t="n"/>
      <c r="D113" s="21" t="n"/>
      <c r="E113" s="21" t="n"/>
      <c r="F113" s="22" t="n"/>
      <c r="G113" s="21" t="n"/>
      <c r="H113" s="23">
        <f>IFERROR(IF(G113="","",VLOOKUP(G113,'Setup - Vehicles'!$A$5:$D$304,4,0)),"")</f>
        <v/>
      </c>
      <c r="I113" s="23">
        <f>IFERROR(IF(E113="","",VLOOKUP(E113,'Setup - Mix Design'!$A$5:$I$304,9,0)),"")</f>
        <v/>
      </c>
      <c r="J113" s="23">
        <f>IF(OR(F113="",I113=""),"",F113*I113)</f>
        <v/>
      </c>
      <c r="K113" s="21" t="n"/>
    </row>
    <row r="114">
      <c r="A114" s="26" t="n"/>
      <c r="B114" s="21" t="n"/>
      <c r="C114" s="21" t="n"/>
      <c r="D114" s="21" t="n"/>
      <c r="E114" s="21" t="n"/>
      <c r="F114" s="22" t="n"/>
      <c r="G114" s="21" t="n"/>
      <c r="H114" s="23">
        <f>IFERROR(IF(G114="","",VLOOKUP(G114,'Setup - Vehicles'!$A$5:$D$304,4,0)),"")</f>
        <v/>
      </c>
      <c r="I114" s="23">
        <f>IFERROR(IF(E114="","",VLOOKUP(E114,'Setup - Mix Design'!$A$5:$I$304,9,0)),"")</f>
        <v/>
      </c>
      <c r="J114" s="23">
        <f>IF(OR(F114="",I114=""),"",F114*I114)</f>
        <v/>
      </c>
      <c r="K114" s="21" t="n"/>
    </row>
    <row r="115">
      <c r="A115" s="26" t="n"/>
      <c r="B115" s="21" t="n"/>
      <c r="C115" s="21" t="n"/>
      <c r="D115" s="21" t="n"/>
      <c r="E115" s="21" t="n"/>
      <c r="F115" s="22" t="n"/>
      <c r="G115" s="21" t="n"/>
      <c r="H115" s="23">
        <f>IFERROR(IF(G115="","",VLOOKUP(G115,'Setup - Vehicles'!$A$5:$D$304,4,0)),"")</f>
        <v/>
      </c>
      <c r="I115" s="23">
        <f>IFERROR(IF(E115="","",VLOOKUP(E115,'Setup - Mix Design'!$A$5:$I$304,9,0)),"")</f>
        <v/>
      </c>
      <c r="J115" s="23">
        <f>IF(OR(F115="",I115=""),"",F115*I115)</f>
        <v/>
      </c>
      <c r="K115" s="21" t="n"/>
    </row>
    <row r="116">
      <c r="A116" s="26" t="n"/>
      <c r="B116" s="21" t="n"/>
      <c r="C116" s="21" t="n"/>
      <c r="D116" s="21" t="n"/>
      <c r="E116" s="21" t="n"/>
      <c r="F116" s="22" t="n"/>
      <c r="G116" s="21" t="n"/>
      <c r="H116" s="23">
        <f>IFERROR(IF(G116="","",VLOOKUP(G116,'Setup - Vehicles'!$A$5:$D$304,4,0)),"")</f>
        <v/>
      </c>
      <c r="I116" s="23">
        <f>IFERROR(IF(E116="","",VLOOKUP(E116,'Setup - Mix Design'!$A$5:$I$304,9,0)),"")</f>
        <v/>
      </c>
      <c r="J116" s="23">
        <f>IF(OR(F116="",I116=""),"",F116*I116)</f>
        <v/>
      </c>
      <c r="K116" s="21" t="n"/>
    </row>
    <row r="117">
      <c r="A117" s="26" t="n"/>
      <c r="B117" s="21" t="n"/>
      <c r="C117" s="21" t="n"/>
      <c r="D117" s="21" t="n"/>
      <c r="E117" s="21" t="n"/>
      <c r="F117" s="22" t="n"/>
      <c r="G117" s="21" t="n"/>
      <c r="H117" s="23">
        <f>IFERROR(IF(G117="","",VLOOKUP(G117,'Setup - Vehicles'!$A$5:$D$304,4,0)),"")</f>
        <v/>
      </c>
      <c r="I117" s="23">
        <f>IFERROR(IF(E117="","",VLOOKUP(E117,'Setup - Mix Design'!$A$5:$I$304,9,0)),"")</f>
        <v/>
      </c>
      <c r="J117" s="23">
        <f>IF(OR(F117="",I117=""),"",F117*I117)</f>
        <v/>
      </c>
      <c r="K117" s="21" t="n"/>
    </row>
    <row r="118">
      <c r="A118" s="26" t="n"/>
      <c r="B118" s="21" t="n"/>
      <c r="C118" s="21" t="n"/>
      <c r="D118" s="21" t="n"/>
      <c r="E118" s="21" t="n"/>
      <c r="F118" s="22" t="n"/>
      <c r="G118" s="21" t="n"/>
      <c r="H118" s="23">
        <f>IFERROR(IF(G118="","",VLOOKUP(G118,'Setup - Vehicles'!$A$5:$D$304,4,0)),"")</f>
        <v/>
      </c>
      <c r="I118" s="23">
        <f>IFERROR(IF(E118="","",VLOOKUP(E118,'Setup - Mix Design'!$A$5:$I$304,9,0)),"")</f>
        <v/>
      </c>
      <c r="J118" s="23">
        <f>IF(OR(F118="",I118=""),"",F118*I118)</f>
        <v/>
      </c>
      <c r="K118" s="21" t="n"/>
    </row>
    <row r="119">
      <c r="A119" s="26" t="n"/>
      <c r="B119" s="21" t="n"/>
      <c r="C119" s="21" t="n"/>
      <c r="D119" s="21" t="n"/>
      <c r="E119" s="21" t="n"/>
      <c r="F119" s="22" t="n"/>
      <c r="G119" s="21" t="n"/>
      <c r="H119" s="23">
        <f>IFERROR(IF(G119="","",VLOOKUP(G119,'Setup - Vehicles'!$A$5:$D$304,4,0)),"")</f>
        <v/>
      </c>
      <c r="I119" s="23">
        <f>IFERROR(IF(E119="","",VLOOKUP(E119,'Setup - Mix Design'!$A$5:$I$304,9,0)),"")</f>
        <v/>
      </c>
      <c r="J119" s="23">
        <f>IF(OR(F119="",I119=""),"",F119*I119)</f>
        <v/>
      </c>
      <c r="K119" s="21" t="n"/>
    </row>
    <row r="120">
      <c r="A120" s="26" t="n"/>
      <c r="B120" s="21" t="n"/>
      <c r="C120" s="21" t="n"/>
      <c r="D120" s="21" t="n"/>
      <c r="E120" s="21" t="n"/>
      <c r="F120" s="22" t="n"/>
      <c r="G120" s="21" t="n"/>
      <c r="H120" s="23">
        <f>IFERROR(IF(G120="","",VLOOKUP(G120,'Setup - Vehicles'!$A$5:$D$304,4,0)),"")</f>
        <v/>
      </c>
      <c r="I120" s="23">
        <f>IFERROR(IF(E120="","",VLOOKUP(E120,'Setup - Mix Design'!$A$5:$I$304,9,0)),"")</f>
        <v/>
      </c>
      <c r="J120" s="23">
        <f>IF(OR(F120="",I120=""),"",F120*I120)</f>
        <v/>
      </c>
      <c r="K120" s="21" t="n"/>
    </row>
    <row r="121">
      <c r="A121" s="26" t="n"/>
      <c r="B121" s="21" t="n"/>
      <c r="C121" s="21" t="n"/>
      <c r="D121" s="21" t="n"/>
      <c r="E121" s="21" t="n"/>
      <c r="F121" s="22" t="n"/>
      <c r="G121" s="21" t="n"/>
      <c r="H121" s="23">
        <f>IFERROR(IF(G121="","",VLOOKUP(G121,'Setup - Vehicles'!$A$5:$D$304,4,0)),"")</f>
        <v/>
      </c>
      <c r="I121" s="23">
        <f>IFERROR(IF(E121="","",VLOOKUP(E121,'Setup - Mix Design'!$A$5:$I$304,9,0)),"")</f>
        <v/>
      </c>
      <c r="J121" s="23">
        <f>IF(OR(F121="",I121=""),"",F121*I121)</f>
        <v/>
      </c>
      <c r="K121" s="21" t="n"/>
    </row>
    <row r="122">
      <c r="A122" s="26" t="n"/>
      <c r="B122" s="21" t="n"/>
      <c r="C122" s="21" t="n"/>
      <c r="D122" s="21" t="n"/>
      <c r="E122" s="21" t="n"/>
      <c r="F122" s="22" t="n"/>
      <c r="G122" s="21" t="n"/>
      <c r="H122" s="23">
        <f>IFERROR(IF(G122="","",VLOOKUP(G122,'Setup - Vehicles'!$A$5:$D$304,4,0)),"")</f>
        <v/>
      </c>
      <c r="I122" s="23">
        <f>IFERROR(IF(E122="","",VLOOKUP(E122,'Setup - Mix Design'!$A$5:$I$304,9,0)),"")</f>
        <v/>
      </c>
      <c r="J122" s="23">
        <f>IF(OR(F122="",I122=""),"",F122*I122)</f>
        <v/>
      </c>
      <c r="K122" s="21" t="n"/>
    </row>
    <row r="123">
      <c r="A123" s="26" t="n"/>
      <c r="B123" s="21" t="n"/>
      <c r="C123" s="21" t="n"/>
      <c r="D123" s="21" t="n"/>
      <c r="E123" s="21" t="n"/>
      <c r="F123" s="22" t="n"/>
      <c r="G123" s="21" t="n"/>
      <c r="H123" s="23">
        <f>IFERROR(IF(G123="","",VLOOKUP(G123,'Setup - Vehicles'!$A$5:$D$304,4,0)),"")</f>
        <v/>
      </c>
      <c r="I123" s="23">
        <f>IFERROR(IF(E123="","",VLOOKUP(E123,'Setup - Mix Design'!$A$5:$I$304,9,0)),"")</f>
        <v/>
      </c>
      <c r="J123" s="23">
        <f>IF(OR(F123="",I123=""),"",F123*I123)</f>
        <v/>
      </c>
      <c r="K123" s="21" t="n"/>
    </row>
    <row r="124">
      <c r="A124" s="26" t="n"/>
      <c r="B124" s="21" t="n"/>
      <c r="C124" s="21" t="n"/>
      <c r="D124" s="21" t="n"/>
      <c r="E124" s="21" t="n"/>
      <c r="F124" s="22" t="n"/>
      <c r="G124" s="21" t="n"/>
      <c r="H124" s="23">
        <f>IFERROR(IF(G124="","",VLOOKUP(G124,'Setup - Vehicles'!$A$5:$D$304,4,0)),"")</f>
        <v/>
      </c>
      <c r="I124" s="23">
        <f>IFERROR(IF(E124="","",VLOOKUP(E124,'Setup - Mix Design'!$A$5:$I$304,9,0)),"")</f>
        <v/>
      </c>
      <c r="J124" s="23">
        <f>IF(OR(F124="",I124=""),"",F124*I124)</f>
        <v/>
      </c>
      <c r="K124" s="21" t="n"/>
    </row>
    <row r="125">
      <c r="A125" s="26" t="n"/>
      <c r="B125" s="21" t="n"/>
      <c r="C125" s="21" t="n"/>
      <c r="D125" s="21" t="n"/>
      <c r="E125" s="21" t="n"/>
      <c r="F125" s="22" t="n"/>
      <c r="G125" s="21" t="n"/>
      <c r="H125" s="23">
        <f>IFERROR(IF(G125="","",VLOOKUP(G125,'Setup - Vehicles'!$A$5:$D$304,4,0)),"")</f>
        <v/>
      </c>
      <c r="I125" s="23">
        <f>IFERROR(IF(E125="","",VLOOKUP(E125,'Setup - Mix Design'!$A$5:$I$304,9,0)),"")</f>
        <v/>
      </c>
      <c r="J125" s="23">
        <f>IF(OR(F125="",I125=""),"",F125*I125)</f>
        <v/>
      </c>
      <c r="K125" s="21" t="n"/>
    </row>
    <row r="126">
      <c r="A126" s="26" t="n"/>
      <c r="B126" s="21" t="n"/>
      <c r="C126" s="21" t="n"/>
      <c r="D126" s="21" t="n"/>
      <c r="E126" s="21" t="n"/>
      <c r="F126" s="22" t="n"/>
      <c r="G126" s="21" t="n"/>
      <c r="H126" s="23">
        <f>IFERROR(IF(G126="","",VLOOKUP(G126,'Setup - Vehicles'!$A$5:$D$304,4,0)),"")</f>
        <v/>
      </c>
      <c r="I126" s="23">
        <f>IFERROR(IF(E126="","",VLOOKUP(E126,'Setup - Mix Design'!$A$5:$I$304,9,0)),"")</f>
        <v/>
      </c>
      <c r="J126" s="23">
        <f>IF(OR(F126="",I126=""),"",F126*I126)</f>
        <v/>
      </c>
      <c r="K126" s="21" t="n"/>
    </row>
    <row r="127">
      <c r="A127" s="26" t="n"/>
      <c r="B127" s="21" t="n"/>
      <c r="C127" s="21" t="n"/>
      <c r="D127" s="21" t="n"/>
      <c r="E127" s="21" t="n"/>
      <c r="F127" s="22" t="n"/>
      <c r="G127" s="21" t="n"/>
      <c r="H127" s="23">
        <f>IFERROR(IF(G127="","",VLOOKUP(G127,'Setup - Vehicles'!$A$5:$D$304,4,0)),"")</f>
        <v/>
      </c>
      <c r="I127" s="23">
        <f>IFERROR(IF(E127="","",VLOOKUP(E127,'Setup - Mix Design'!$A$5:$I$304,9,0)),"")</f>
        <v/>
      </c>
      <c r="J127" s="23">
        <f>IF(OR(F127="",I127=""),"",F127*I127)</f>
        <v/>
      </c>
      <c r="K127" s="21" t="n"/>
    </row>
    <row r="128">
      <c r="A128" s="26" t="n"/>
      <c r="B128" s="21" t="n"/>
      <c r="C128" s="21" t="n"/>
      <c r="D128" s="21" t="n"/>
      <c r="E128" s="21" t="n"/>
      <c r="F128" s="22" t="n"/>
      <c r="G128" s="21" t="n"/>
      <c r="H128" s="23">
        <f>IFERROR(IF(G128="","",VLOOKUP(G128,'Setup - Vehicles'!$A$5:$D$304,4,0)),"")</f>
        <v/>
      </c>
      <c r="I128" s="23">
        <f>IFERROR(IF(E128="","",VLOOKUP(E128,'Setup - Mix Design'!$A$5:$I$304,9,0)),"")</f>
        <v/>
      </c>
      <c r="J128" s="23">
        <f>IF(OR(F128="",I128=""),"",F128*I128)</f>
        <v/>
      </c>
      <c r="K128" s="21" t="n"/>
    </row>
    <row r="129">
      <c r="A129" s="26" t="n"/>
      <c r="B129" s="21" t="n"/>
      <c r="C129" s="21" t="n"/>
      <c r="D129" s="21" t="n"/>
      <c r="E129" s="21" t="n"/>
      <c r="F129" s="22" t="n"/>
      <c r="G129" s="21" t="n"/>
      <c r="H129" s="23">
        <f>IFERROR(IF(G129="","",VLOOKUP(G129,'Setup - Vehicles'!$A$5:$D$304,4,0)),"")</f>
        <v/>
      </c>
      <c r="I129" s="23">
        <f>IFERROR(IF(E129="","",VLOOKUP(E129,'Setup - Mix Design'!$A$5:$I$304,9,0)),"")</f>
        <v/>
      </c>
      <c r="J129" s="23">
        <f>IF(OR(F129="",I129=""),"",F129*I129)</f>
        <v/>
      </c>
      <c r="K129" s="21" t="n"/>
    </row>
    <row r="130">
      <c r="A130" s="26" t="n"/>
      <c r="B130" s="21" t="n"/>
      <c r="C130" s="21" t="n"/>
      <c r="D130" s="21" t="n"/>
      <c r="E130" s="21" t="n"/>
      <c r="F130" s="22" t="n"/>
      <c r="G130" s="21" t="n"/>
      <c r="H130" s="23">
        <f>IFERROR(IF(G130="","",VLOOKUP(G130,'Setup - Vehicles'!$A$5:$D$304,4,0)),"")</f>
        <v/>
      </c>
      <c r="I130" s="23">
        <f>IFERROR(IF(E130="","",VLOOKUP(E130,'Setup - Mix Design'!$A$5:$I$304,9,0)),"")</f>
        <v/>
      </c>
      <c r="J130" s="23">
        <f>IF(OR(F130="",I130=""),"",F130*I130)</f>
        <v/>
      </c>
      <c r="K130" s="21" t="n"/>
    </row>
    <row r="131">
      <c r="A131" s="26" t="n"/>
      <c r="B131" s="21" t="n"/>
      <c r="C131" s="21" t="n"/>
      <c r="D131" s="21" t="n"/>
      <c r="E131" s="21" t="n"/>
      <c r="F131" s="22" t="n"/>
      <c r="G131" s="21" t="n"/>
      <c r="H131" s="23">
        <f>IFERROR(IF(G131="","",VLOOKUP(G131,'Setup - Vehicles'!$A$5:$D$304,4,0)),"")</f>
        <v/>
      </c>
      <c r="I131" s="23">
        <f>IFERROR(IF(E131="","",VLOOKUP(E131,'Setup - Mix Design'!$A$5:$I$304,9,0)),"")</f>
        <v/>
      </c>
      <c r="J131" s="23">
        <f>IF(OR(F131="",I131=""),"",F131*I131)</f>
        <v/>
      </c>
      <c r="K131" s="21" t="n"/>
    </row>
    <row r="132">
      <c r="A132" s="26" t="n"/>
      <c r="B132" s="21" t="n"/>
      <c r="C132" s="21" t="n"/>
      <c r="D132" s="21" t="n"/>
      <c r="E132" s="21" t="n"/>
      <c r="F132" s="22" t="n"/>
      <c r="G132" s="21" t="n"/>
      <c r="H132" s="23">
        <f>IFERROR(IF(G132="","",VLOOKUP(G132,'Setup - Vehicles'!$A$5:$D$304,4,0)),"")</f>
        <v/>
      </c>
      <c r="I132" s="23">
        <f>IFERROR(IF(E132="","",VLOOKUP(E132,'Setup - Mix Design'!$A$5:$I$304,9,0)),"")</f>
        <v/>
      </c>
      <c r="J132" s="23">
        <f>IF(OR(F132="",I132=""),"",F132*I132)</f>
        <v/>
      </c>
      <c r="K132" s="21" t="n"/>
    </row>
    <row r="133">
      <c r="A133" s="26" t="n"/>
      <c r="B133" s="21" t="n"/>
      <c r="C133" s="21" t="n"/>
      <c r="D133" s="21" t="n"/>
      <c r="E133" s="21" t="n"/>
      <c r="F133" s="22" t="n"/>
      <c r="G133" s="21" t="n"/>
      <c r="H133" s="23">
        <f>IFERROR(IF(G133="","",VLOOKUP(G133,'Setup - Vehicles'!$A$5:$D$304,4,0)),"")</f>
        <v/>
      </c>
      <c r="I133" s="23">
        <f>IFERROR(IF(E133="","",VLOOKUP(E133,'Setup - Mix Design'!$A$5:$I$304,9,0)),"")</f>
        <v/>
      </c>
      <c r="J133" s="23">
        <f>IF(OR(F133="",I133=""),"",F133*I133)</f>
        <v/>
      </c>
      <c r="K133" s="21" t="n"/>
    </row>
    <row r="134">
      <c r="A134" s="26" t="n"/>
      <c r="B134" s="21" t="n"/>
      <c r="C134" s="21" t="n"/>
      <c r="D134" s="21" t="n"/>
      <c r="E134" s="21" t="n"/>
      <c r="F134" s="22" t="n"/>
      <c r="G134" s="21" t="n"/>
      <c r="H134" s="23">
        <f>IFERROR(IF(G134="","",VLOOKUP(G134,'Setup - Vehicles'!$A$5:$D$304,4,0)),"")</f>
        <v/>
      </c>
      <c r="I134" s="23">
        <f>IFERROR(IF(E134="","",VLOOKUP(E134,'Setup - Mix Design'!$A$5:$I$304,9,0)),"")</f>
        <v/>
      </c>
      <c r="J134" s="23">
        <f>IF(OR(F134="",I134=""),"",F134*I134)</f>
        <v/>
      </c>
      <c r="K134" s="21" t="n"/>
    </row>
    <row r="135">
      <c r="A135" s="26" t="n"/>
      <c r="B135" s="21" t="n"/>
      <c r="C135" s="21" t="n"/>
      <c r="D135" s="21" t="n"/>
      <c r="E135" s="21" t="n"/>
      <c r="F135" s="22" t="n"/>
      <c r="G135" s="21" t="n"/>
      <c r="H135" s="23">
        <f>IFERROR(IF(G135="","",VLOOKUP(G135,'Setup - Vehicles'!$A$5:$D$304,4,0)),"")</f>
        <v/>
      </c>
      <c r="I135" s="23">
        <f>IFERROR(IF(E135="","",VLOOKUP(E135,'Setup - Mix Design'!$A$5:$I$304,9,0)),"")</f>
        <v/>
      </c>
      <c r="J135" s="23">
        <f>IF(OR(F135="",I135=""),"",F135*I135)</f>
        <v/>
      </c>
      <c r="K135" s="21" t="n"/>
    </row>
    <row r="136">
      <c r="A136" s="26" t="n"/>
      <c r="B136" s="21" t="n"/>
      <c r="C136" s="21" t="n"/>
      <c r="D136" s="21" t="n"/>
      <c r="E136" s="21" t="n"/>
      <c r="F136" s="22" t="n"/>
      <c r="G136" s="21" t="n"/>
      <c r="H136" s="23">
        <f>IFERROR(IF(G136="","",VLOOKUP(G136,'Setup - Vehicles'!$A$5:$D$304,4,0)),"")</f>
        <v/>
      </c>
      <c r="I136" s="23">
        <f>IFERROR(IF(E136="","",VLOOKUP(E136,'Setup - Mix Design'!$A$5:$I$304,9,0)),"")</f>
        <v/>
      </c>
      <c r="J136" s="23">
        <f>IF(OR(F136="",I136=""),"",F136*I136)</f>
        <v/>
      </c>
      <c r="K136" s="21" t="n"/>
    </row>
    <row r="137">
      <c r="A137" s="26" t="n"/>
      <c r="B137" s="21" t="n"/>
      <c r="C137" s="21" t="n"/>
      <c r="D137" s="21" t="n"/>
      <c r="E137" s="21" t="n"/>
      <c r="F137" s="22" t="n"/>
      <c r="G137" s="21" t="n"/>
      <c r="H137" s="23">
        <f>IFERROR(IF(G137="","",VLOOKUP(G137,'Setup - Vehicles'!$A$5:$D$304,4,0)),"")</f>
        <v/>
      </c>
      <c r="I137" s="23">
        <f>IFERROR(IF(E137="","",VLOOKUP(E137,'Setup - Mix Design'!$A$5:$I$304,9,0)),"")</f>
        <v/>
      </c>
      <c r="J137" s="23">
        <f>IF(OR(F137="",I137=""),"",F137*I137)</f>
        <v/>
      </c>
      <c r="K137" s="21" t="n"/>
    </row>
    <row r="138">
      <c r="A138" s="26" t="n"/>
      <c r="B138" s="21" t="n"/>
      <c r="C138" s="21" t="n"/>
      <c r="D138" s="21" t="n"/>
      <c r="E138" s="21" t="n"/>
      <c r="F138" s="22" t="n"/>
      <c r="G138" s="21" t="n"/>
      <c r="H138" s="23">
        <f>IFERROR(IF(G138="","",VLOOKUP(G138,'Setup - Vehicles'!$A$5:$D$304,4,0)),"")</f>
        <v/>
      </c>
      <c r="I138" s="23">
        <f>IFERROR(IF(E138="","",VLOOKUP(E138,'Setup - Mix Design'!$A$5:$I$304,9,0)),"")</f>
        <v/>
      </c>
      <c r="J138" s="23">
        <f>IF(OR(F138="",I138=""),"",F138*I138)</f>
        <v/>
      </c>
      <c r="K138" s="21" t="n"/>
    </row>
    <row r="139">
      <c r="A139" s="26" t="n"/>
      <c r="B139" s="21" t="n"/>
      <c r="C139" s="21" t="n"/>
      <c r="D139" s="21" t="n"/>
      <c r="E139" s="21" t="n"/>
      <c r="F139" s="22" t="n"/>
      <c r="G139" s="21" t="n"/>
      <c r="H139" s="23">
        <f>IFERROR(IF(G139="","",VLOOKUP(G139,'Setup - Vehicles'!$A$5:$D$304,4,0)),"")</f>
        <v/>
      </c>
      <c r="I139" s="23">
        <f>IFERROR(IF(E139="","",VLOOKUP(E139,'Setup - Mix Design'!$A$5:$I$304,9,0)),"")</f>
        <v/>
      </c>
      <c r="J139" s="23">
        <f>IF(OR(F139="",I139=""),"",F139*I139)</f>
        <v/>
      </c>
      <c r="K139" s="21" t="n"/>
    </row>
    <row r="140">
      <c r="A140" s="26" t="n"/>
      <c r="B140" s="21" t="n"/>
      <c r="C140" s="21" t="n"/>
      <c r="D140" s="21" t="n"/>
      <c r="E140" s="21" t="n"/>
      <c r="F140" s="22" t="n"/>
      <c r="G140" s="21" t="n"/>
      <c r="H140" s="23">
        <f>IFERROR(IF(G140="","",VLOOKUP(G140,'Setup - Vehicles'!$A$5:$D$304,4,0)),"")</f>
        <v/>
      </c>
      <c r="I140" s="23">
        <f>IFERROR(IF(E140="","",VLOOKUP(E140,'Setup - Mix Design'!$A$5:$I$304,9,0)),"")</f>
        <v/>
      </c>
      <c r="J140" s="23">
        <f>IF(OR(F140="",I140=""),"",F140*I140)</f>
        <v/>
      </c>
      <c r="K140" s="21" t="n"/>
    </row>
    <row r="141">
      <c r="A141" s="26" t="n"/>
      <c r="B141" s="21" t="n"/>
      <c r="C141" s="21" t="n"/>
      <c r="D141" s="21" t="n"/>
      <c r="E141" s="21" t="n"/>
      <c r="F141" s="22" t="n"/>
      <c r="G141" s="21" t="n"/>
      <c r="H141" s="23">
        <f>IFERROR(IF(G141="","",VLOOKUP(G141,'Setup - Vehicles'!$A$5:$D$304,4,0)),"")</f>
        <v/>
      </c>
      <c r="I141" s="23">
        <f>IFERROR(IF(E141="","",VLOOKUP(E141,'Setup - Mix Design'!$A$5:$I$304,9,0)),"")</f>
        <v/>
      </c>
      <c r="J141" s="23">
        <f>IF(OR(F141="",I141=""),"",F141*I141)</f>
        <v/>
      </c>
      <c r="K141" s="21" t="n"/>
    </row>
    <row r="142">
      <c r="A142" s="26" t="n"/>
      <c r="B142" s="21" t="n"/>
      <c r="C142" s="21" t="n"/>
      <c r="D142" s="21" t="n"/>
      <c r="E142" s="21" t="n"/>
      <c r="F142" s="22" t="n"/>
      <c r="G142" s="21" t="n"/>
      <c r="H142" s="23">
        <f>IFERROR(IF(G142="","",VLOOKUP(G142,'Setup - Vehicles'!$A$5:$D$304,4,0)),"")</f>
        <v/>
      </c>
      <c r="I142" s="23">
        <f>IFERROR(IF(E142="","",VLOOKUP(E142,'Setup - Mix Design'!$A$5:$I$304,9,0)),"")</f>
        <v/>
      </c>
      <c r="J142" s="23">
        <f>IF(OR(F142="",I142=""),"",F142*I142)</f>
        <v/>
      </c>
      <c r="K142" s="21" t="n"/>
    </row>
    <row r="143">
      <c r="A143" s="26" t="n"/>
      <c r="B143" s="21" t="n"/>
      <c r="C143" s="21" t="n"/>
      <c r="D143" s="21" t="n"/>
      <c r="E143" s="21" t="n"/>
      <c r="F143" s="22" t="n"/>
      <c r="G143" s="21" t="n"/>
      <c r="H143" s="23">
        <f>IFERROR(IF(G143="","",VLOOKUP(G143,'Setup - Vehicles'!$A$5:$D$304,4,0)),"")</f>
        <v/>
      </c>
      <c r="I143" s="23">
        <f>IFERROR(IF(E143="","",VLOOKUP(E143,'Setup - Mix Design'!$A$5:$I$304,9,0)),"")</f>
        <v/>
      </c>
      <c r="J143" s="23">
        <f>IF(OR(F143="",I143=""),"",F143*I143)</f>
        <v/>
      </c>
      <c r="K143" s="21" t="n"/>
    </row>
    <row r="144">
      <c r="A144" s="26" t="n"/>
      <c r="B144" s="21" t="n"/>
      <c r="C144" s="21" t="n"/>
      <c r="D144" s="21" t="n"/>
      <c r="E144" s="21" t="n"/>
      <c r="F144" s="22" t="n"/>
      <c r="G144" s="21" t="n"/>
      <c r="H144" s="23">
        <f>IFERROR(IF(G144="","",VLOOKUP(G144,'Setup - Vehicles'!$A$5:$D$304,4,0)),"")</f>
        <v/>
      </c>
      <c r="I144" s="23">
        <f>IFERROR(IF(E144="","",VLOOKUP(E144,'Setup - Mix Design'!$A$5:$I$304,9,0)),"")</f>
        <v/>
      </c>
      <c r="J144" s="23">
        <f>IF(OR(F144="",I144=""),"",F144*I144)</f>
        <v/>
      </c>
      <c r="K144" s="21" t="n"/>
    </row>
    <row r="145">
      <c r="A145" s="26" t="n"/>
      <c r="B145" s="21" t="n"/>
      <c r="C145" s="21" t="n"/>
      <c r="D145" s="21" t="n"/>
      <c r="E145" s="21" t="n"/>
      <c r="F145" s="22" t="n"/>
      <c r="G145" s="21" t="n"/>
      <c r="H145" s="23">
        <f>IFERROR(IF(G145="","",VLOOKUP(G145,'Setup - Vehicles'!$A$5:$D$304,4,0)),"")</f>
        <v/>
      </c>
      <c r="I145" s="23">
        <f>IFERROR(IF(E145="","",VLOOKUP(E145,'Setup - Mix Design'!$A$5:$I$304,9,0)),"")</f>
        <v/>
      </c>
      <c r="J145" s="23">
        <f>IF(OR(F145="",I145=""),"",F145*I145)</f>
        <v/>
      </c>
      <c r="K145" s="21" t="n"/>
    </row>
    <row r="146">
      <c r="A146" s="26" t="n"/>
      <c r="B146" s="21" t="n"/>
      <c r="C146" s="21" t="n"/>
      <c r="D146" s="21" t="n"/>
      <c r="E146" s="21" t="n"/>
      <c r="F146" s="22" t="n"/>
      <c r="G146" s="21" t="n"/>
      <c r="H146" s="23">
        <f>IFERROR(IF(G146="","",VLOOKUP(G146,'Setup - Vehicles'!$A$5:$D$304,4,0)),"")</f>
        <v/>
      </c>
      <c r="I146" s="23">
        <f>IFERROR(IF(E146="","",VLOOKUP(E146,'Setup - Mix Design'!$A$5:$I$304,9,0)),"")</f>
        <v/>
      </c>
      <c r="J146" s="23">
        <f>IF(OR(F146="",I146=""),"",F146*I146)</f>
        <v/>
      </c>
      <c r="K146" s="21" t="n"/>
    </row>
    <row r="147">
      <c r="A147" s="26" t="n"/>
      <c r="B147" s="21" t="n"/>
      <c r="C147" s="21" t="n"/>
      <c r="D147" s="21" t="n"/>
      <c r="E147" s="21" t="n"/>
      <c r="F147" s="22" t="n"/>
      <c r="G147" s="21" t="n"/>
      <c r="H147" s="23">
        <f>IFERROR(IF(G147="","",VLOOKUP(G147,'Setup - Vehicles'!$A$5:$D$304,4,0)),"")</f>
        <v/>
      </c>
      <c r="I147" s="23">
        <f>IFERROR(IF(E147="","",VLOOKUP(E147,'Setup - Mix Design'!$A$5:$I$304,9,0)),"")</f>
        <v/>
      </c>
      <c r="J147" s="23">
        <f>IF(OR(F147="",I147=""),"",F147*I147)</f>
        <v/>
      </c>
      <c r="K147" s="21" t="n"/>
    </row>
    <row r="148">
      <c r="A148" s="26" t="n"/>
      <c r="B148" s="21" t="n"/>
      <c r="C148" s="21" t="n"/>
      <c r="D148" s="21" t="n"/>
      <c r="E148" s="21" t="n"/>
      <c r="F148" s="22" t="n"/>
      <c r="G148" s="21" t="n"/>
      <c r="H148" s="23">
        <f>IFERROR(IF(G148="","",VLOOKUP(G148,'Setup - Vehicles'!$A$5:$D$304,4,0)),"")</f>
        <v/>
      </c>
      <c r="I148" s="23">
        <f>IFERROR(IF(E148="","",VLOOKUP(E148,'Setup - Mix Design'!$A$5:$I$304,9,0)),"")</f>
        <v/>
      </c>
      <c r="J148" s="23">
        <f>IF(OR(F148="",I148=""),"",F148*I148)</f>
        <v/>
      </c>
      <c r="K148" s="21" t="n"/>
    </row>
    <row r="149">
      <c r="A149" s="26" t="n"/>
      <c r="B149" s="21" t="n"/>
      <c r="C149" s="21" t="n"/>
      <c r="D149" s="21" t="n"/>
      <c r="E149" s="21" t="n"/>
      <c r="F149" s="22" t="n"/>
      <c r="G149" s="21" t="n"/>
      <c r="H149" s="23">
        <f>IFERROR(IF(G149="","",VLOOKUP(G149,'Setup - Vehicles'!$A$5:$D$304,4,0)),"")</f>
        <v/>
      </c>
      <c r="I149" s="23">
        <f>IFERROR(IF(E149="","",VLOOKUP(E149,'Setup - Mix Design'!$A$5:$I$304,9,0)),"")</f>
        <v/>
      </c>
      <c r="J149" s="23">
        <f>IF(OR(F149="",I149=""),"",F149*I149)</f>
        <v/>
      </c>
      <c r="K149" s="21" t="n"/>
    </row>
    <row r="150">
      <c r="A150" s="26" t="n"/>
      <c r="B150" s="21" t="n"/>
      <c r="C150" s="21" t="n"/>
      <c r="D150" s="21" t="n"/>
      <c r="E150" s="21" t="n"/>
      <c r="F150" s="22" t="n"/>
      <c r="G150" s="21" t="n"/>
      <c r="H150" s="23">
        <f>IFERROR(IF(G150="","",VLOOKUP(G150,'Setup - Vehicles'!$A$5:$D$304,4,0)),"")</f>
        <v/>
      </c>
      <c r="I150" s="23">
        <f>IFERROR(IF(E150="","",VLOOKUP(E150,'Setup - Mix Design'!$A$5:$I$304,9,0)),"")</f>
        <v/>
      </c>
      <c r="J150" s="23">
        <f>IF(OR(F150="",I150=""),"",F150*I150)</f>
        <v/>
      </c>
      <c r="K150" s="21" t="n"/>
    </row>
    <row r="151">
      <c r="A151" s="26" t="n"/>
      <c r="B151" s="21" t="n"/>
      <c r="C151" s="21" t="n"/>
      <c r="D151" s="21" t="n"/>
      <c r="E151" s="21" t="n"/>
      <c r="F151" s="22" t="n"/>
      <c r="G151" s="21" t="n"/>
      <c r="H151" s="23">
        <f>IFERROR(IF(G151="","",VLOOKUP(G151,'Setup - Vehicles'!$A$5:$D$304,4,0)),"")</f>
        <v/>
      </c>
      <c r="I151" s="23">
        <f>IFERROR(IF(E151="","",VLOOKUP(E151,'Setup - Mix Design'!$A$5:$I$304,9,0)),"")</f>
        <v/>
      </c>
      <c r="J151" s="23">
        <f>IF(OR(F151="",I151=""),"",F151*I151)</f>
        <v/>
      </c>
      <c r="K151" s="21" t="n"/>
    </row>
    <row r="152">
      <c r="A152" s="26" t="n"/>
      <c r="B152" s="21" t="n"/>
      <c r="C152" s="21" t="n"/>
      <c r="D152" s="21" t="n"/>
      <c r="E152" s="21" t="n"/>
      <c r="F152" s="22" t="n"/>
      <c r="G152" s="21" t="n"/>
      <c r="H152" s="23">
        <f>IFERROR(IF(G152="","",VLOOKUP(G152,'Setup - Vehicles'!$A$5:$D$304,4,0)),"")</f>
        <v/>
      </c>
      <c r="I152" s="23">
        <f>IFERROR(IF(E152="","",VLOOKUP(E152,'Setup - Mix Design'!$A$5:$I$304,9,0)),"")</f>
        <v/>
      </c>
      <c r="J152" s="23">
        <f>IF(OR(F152="",I152=""),"",F152*I152)</f>
        <v/>
      </c>
      <c r="K152" s="21" t="n"/>
    </row>
    <row r="153">
      <c r="A153" s="26" t="n"/>
      <c r="B153" s="21" t="n"/>
      <c r="C153" s="21" t="n"/>
      <c r="D153" s="21" t="n"/>
      <c r="E153" s="21" t="n"/>
      <c r="F153" s="22" t="n"/>
      <c r="G153" s="21" t="n"/>
      <c r="H153" s="23">
        <f>IFERROR(IF(G153="","",VLOOKUP(G153,'Setup - Vehicles'!$A$5:$D$304,4,0)),"")</f>
        <v/>
      </c>
      <c r="I153" s="23">
        <f>IFERROR(IF(E153="","",VLOOKUP(E153,'Setup - Mix Design'!$A$5:$I$304,9,0)),"")</f>
        <v/>
      </c>
      <c r="J153" s="23">
        <f>IF(OR(F153="",I153=""),"",F153*I153)</f>
        <v/>
      </c>
      <c r="K153" s="21" t="n"/>
    </row>
    <row r="154">
      <c r="A154" s="26" t="n"/>
      <c r="B154" s="21" t="n"/>
      <c r="C154" s="21" t="n"/>
      <c r="D154" s="21" t="n"/>
      <c r="E154" s="21" t="n"/>
      <c r="F154" s="22" t="n"/>
      <c r="G154" s="21" t="n"/>
      <c r="H154" s="23">
        <f>IFERROR(IF(G154="","",VLOOKUP(G154,'Setup - Vehicles'!$A$5:$D$304,4,0)),"")</f>
        <v/>
      </c>
      <c r="I154" s="23">
        <f>IFERROR(IF(E154="","",VLOOKUP(E154,'Setup - Mix Design'!$A$5:$I$304,9,0)),"")</f>
        <v/>
      </c>
      <c r="J154" s="23">
        <f>IF(OR(F154="",I154=""),"",F154*I154)</f>
        <v/>
      </c>
      <c r="K154" s="21" t="n"/>
    </row>
    <row r="155">
      <c r="A155" s="26" t="n"/>
      <c r="B155" s="21" t="n"/>
      <c r="C155" s="21" t="n"/>
      <c r="D155" s="21" t="n"/>
      <c r="E155" s="21" t="n"/>
      <c r="F155" s="22" t="n"/>
      <c r="G155" s="21" t="n"/>
      <c r="H155" s="23">
        <f>IFERROR(IF(G155="","",VLOOKUP(G155,'Setup - Vehicles'!$A$5:$D$304,4,0)),"")</f>
        <v/>
      </c>
      <c r="I155" s="23">
        <f>IFERROR(IF(E155="","",VLOOKUP(E155,'Setup - Mix Design'!$A$5:$I$304,9,0)),"")</f>
        <v/>
      </c>
      <c r="J155" s="23">
        <f>IF(OR(F155="",I155=""),"",F155*I155)</f>
        <v/>
      </c>
      <c r="K155" s="21" t="n"/>
    </row>
    <row r="156">
      <c r="A156" s="26" t="n"/>
      <c r="B156" s="21" t="n"/>
      <c r="C156" s="21" t="n"/>
      <c r="D156" s="21" t="n"/>
      <c r="E156" s="21" t="n"/>
      <c r="F156" s="22" t="n"/>
      <c r="G156" s="21" t="n"/>
      <c r="H156" s="23">
        <f>IFERROR(IF(G156="","",VLOOKUP(G156,'Setup - Vehicles'!$A$5:$D$304,4,0)),"")</f>
        <v/>
      </c>
      <c r="I156" s="23">
        <f>IFERROR(IF(E156="","",VLOOKUP(E156,'Setup - Mix Design'!$A$5:$I$304,9,0)),"")</f>
        <v/>
      </c>
      <c r="J156" s="23">
        <f>IF(OR(F156="",I156=""),"",F156*I156)</f>
        <v/>
      </c>
      <c r="K156" s="21" t="n"/>
    </row>
    <row r="157">
      <c r="A157" s="26" t="n"/>
      <c r="B157" s="21" t="n"/>
      <c r="C157" s="21" t="n"/>
      <c r="D157" s="21" t="n"/>
      <c r="E157" s="21" t="n"/>
      <c r="F157" s="22" t="n"/>
      <c r="G157" s="21" t="n"/>
      <c r="H157" s="23">
        <f>IFERROR(IF(G157="","",VLOOKUP(G157,'Setup - Vehicles'!$A$5:$D$304,4,0)),"")</f>
        <v/>
      </c>
      <c r="I157" s="23">
        <f>IFERROR(IF(E157="","",VLOOKUP(E157,'Setup - Mix Design'!$A$5:$I$304,9,0)),"")</f>
        <v/>
      </c>
      <c r="J157" s="23">
        <f>IF(OR(F157="",I157=""),"",F157*I157)</f>
        <v/>
      </c>
      <c r="K157" s="21" t="n"/>
    </row>
    <row r="158">
      <c r="A158" s="26" t="n"/>
      <c r="B158" s="21" t="n"/>
      <c r="C158" s="21" t="n"/>
      <c r="D158" s="21" t="n"/>
      <c r="E158" s="21" t="n"/>
      <c r="F158" s="22" t="n"/>
      <c r="G158" s="21" t="n"/>
      <c r="H158" s="23">
        <f>IFERROR(IF(G158="","",VLOOKUP(G158,'Setup - Vehicles'!$A$5:$D$304,4,0)),"")</f>
        <v/>
      </c>
      <c r="I158" s="23">
        <f>IFERROR(IF(E158="","",VLOOKUP(E158,'Setup - Mix Design'!$A$5:$I$304,9,0)),"")</f>
        <v/>
      </c>
      <c r="J158" s="23">
        <f>IF(OR(F158="",I158=""),"",F158*I158)</f>
        <v/>
      </c>
      <c r="K158" s="21" t="n"/>
    </row>
    <row r="159">
      <c r="A159" s="26" t="n"/>
      <c r="B159" s="21" t="n"/>
      <c r="C159" s="21" t="n"/>
      <c r="D159" s="21" t="n"/>
      <c r="E159" s="21" t="n"/>
      <c r="F159" s="22" t="n"/>
      <c r="G159" s="21" t="n"/>
      <c r="H159" s="23">
        <f>IFERROR(IF(G159="","",VLOOKUP(G159,'Setup - Vehicles'!$A$5:$D$304,4,0)),"")</f>
        <v/>
      </c>
      <c r="I159" s="23">
        <f>IFERROR(IF(E159="","",VLOOKUP(E159,'Setup - Mix Design'!$A$5:$I$304,9,0)),"")</f>
        <v/>
      </c>
      <c r="J159" s="23">
        <f>IF(OR(F159="",I159=""),"",F159*I159)</f>
        <v/>
      </c>
      <c r="K159" s="21" t="n"/>
    </row>
    <row r="160">
      <c r="A160" s="26" t="n"/>
      <c r="B160" s="21" t="n"/>
      <c r="C160" s="21" t="n"/>
      <c r="D160" s="21" t="n"/>
      <c r="E160" s="21" t="n"/>
      <c r="F160" s="22" t="n"/>
      <c r="G160" s="21" t="n"/>
      <c r="H160" s="23">
        <f>IFERROR(IF(G160="","",VLOOKUP(G160,'Setup - Vehicles'!$A$5:$D$304,4,0)),"")</f>
        <v/>
      </c>
      <c r="I160" s="23">
        <f>IFERROR(IF(E160="","",VLOOKUP(E160,'Setup - Mix Design'!$A$5:$I$304,9,0)),"")</f>
        <v/>
      </c>
      <c r="J160" s="23">
        <f>IF(OR(F160="",I160=""),"",F160*I160)</f>
        <v/>
      </c>
      <c r="K160" s="21" t="n"/>
    </row>
    <row r="161">
      <c r="A161" s="26" t="n"/>
      <c r="B161" s="21" t="n"/>
      <c r="C161" s="21" t="n"/>
      <c r="D161" s="21" t="n"/>
      <c r="E161" s="21" t="n"/>
      <c r="F161" s="22" t="n"/>
      <c r="G161" s="21" t="n"/>
      <c r="H161" s="23">
        <f>IFERROR(IF(G161="","",VLOOKUP(G161,'Setup - Vehicles'!$A$5:$D$304,4,0)),"")</f>
        <v/>
      </c>
      <c r="I161" s="23">
        <f>IFERROR(IF(E161="","",VLOOKUP(E161,'Setup - Mix Design'!$A$5:$I$304,9,0)),"")</f>
        <v/>
      </c>
      <c r="J161" s="23">
        <f>IF(OR(F161="",I161=""),"",F161*I161)</f>
        <v/>
      </c>
      <c r="K161" s="21" t="n"/>
    </row>
    <row r="162">
      <c r="A162" s="26" t="n"/>
      <c r="B162" s="21" t="n"/>
      <c r="C162" s="21" t="n"/>
      <c r="D162" s="21" t="n"/>
      <c r="E162" s="21" t="n"/>
      <c r="F162" s="22" t="n"/>
      <c r="G162" s="21" t="n"/>
      <c r="H162" s="23">
        <f>IFERROR(IF(G162="","",VLOOKUP(G162,'Setup - Vehicles'!$A$5:$D$304,4,0)),"")</f>
        <v/>
      </c>
      <c r="I162" s="23">
        <f>IFERROR(IF(E162="","",VLOOKUP(E162,'Setup - Mix Design'!$A$5:$I$304,9,0)),"")</f>
        <v/>
      </c>
      <c r="J162" s="23">
        <f>IF(OR(F162="",I162=""),"",F162*I162)</f>
        <v/>
      </c>
      <c r="K162" s="21" t="n"/>
    </row>
    <row r="163">
      <c r="A163" s="26" t="n"/>
      <c r="B163" s="21" t="n"/>
      <c r="C163" s="21" t="n"/>
      <c r="D163" s="21" t="n"/>
      <c r="E163" s="21" t="n"/>
      <c r="F163" s="22" t="n"/>
      <c r="G163" s="21" t="n"/>
      <c r="H163" s="23">
        <f>IFERROR(IF(G163="","",VLOOKUP(G163,'Setup - Vehicles'!$A$5:$D$304,4,0)),"")</f>
        <v/>
      </c>
      <c r="I163" s="23">
        <f>IFERROR(IF(E163="","",VLOOKUP(E163,'Setup - Mix Design'!$A$5:$I$304,9,0)),"")</f>
        <v/>
      </c>
      <c r="J163" s="23">
        <f>IF(OR(F163="",I163=""),"",F163*I163)</f>
        <v/>
      </c>
      <c r="K163" s="21" t="n"/>
    </row>
    <row r="164">
      <c r="A164" s="26" t="n"/>
      <c r="B164" s="21" t="n"/>
      <c r="C164" s="21" t="n"/>
      <c r="D164" s="21" t="n"/>
      <c r="E164" s="21" t="n"/>
      <c r="F164" s="22" t="n"/>
      <c r="G164" s="21" t="n"/>
      <c r="H164" s="23">
        <f>IFERROR(IF(G164="","",VLOOKUP(G164,'Setup - Vehicles'!$A$5:$D$304,4,0)),"")</f>
        <v/>
      </c>
      <c r="I164" s="23">
        <f>IFERROR(IF(E164="","",VLOOKUP(E164,'Setup - Mix Design'!$A$5:$I$304,9,0)),"")</f>
        <v/>
      </c>
      <c r="J164" s="23">
        <f>IF(OR(F164="",I164=""),"",F164*I164)</f>
        <v/>
      </c>
      <c r="K164" s="21" t="n"/>
    </row>
    <row r="165">
      <c r="A165" s="26" t="n"/>
      <c r="B165" s="21" t="n"/>
      <c r="C165" s="21" t="n"/>
      <c r="D165" s="21" t="n"/>
      <c r="E165" s="21" t="n"/>
      <c r="F165" s="22" t="n"/>
      <c r="G165" s="21" t="n"/>
      <c r="H165" s="23">
        <f>IFERROR(IF(G165="","",VLOOKUP(G165,'Setup - Vehicles'!$A$5:$D$304,4,0)),"")</f>
        <v/>
      </c>
      <c r="I165" s="23">
        <f>IFERROR(IF(E165="","",VLOOKUP(E165,'Setup - Mix Design'!$A$5:$I$304,9,0)),"")</f>
        <v/>
      </c>
      <c r="J165" s="23">
        <f>IF(OR(F165="",I165=""),"",F165*I165)</f>
        <v/>
      </c>
      <c r="K165" s="21" t="n"/>
    </row>
    <row r="166">
      <c r="A166" s="26" t="n"/>
      <c r="B166" s="21" t="n"/>
      <c r="C166" s="21" t="n"/>
      <c r="D166" s="21" t="n"/>
      <c r="E166" s="21" t="n"/>
      <c r="F166" s="22" t="n"/>
      <c r="G166" s="21" t="n"/>
      <c r="H166" s="23">
        <f>IFERROR(IF(G166="","",VLOOKUP(G166,'Setup - Vehicles'!$A$5:$D$304,4,0)),"")</f>
        <v/>
      </c>
      <c r="I166" s="23">
        <f>IFERROR(IF(E166="","",VLOOKUP(E166,'Setup - Mix Design'!$A$5:$I$304,9,0)),"")</f>
        <v/>
      </c>
      <c r="J166" s="23">
        <f>IF(OR(F166="",I166=""),"",F166*I166)</f>
        <v/>
      </c>
      <c r="K166" s="21" t="n"/>
    </row>
    <row r="167">
      <c r="A167" s="26" t="n"/>
      <c r="B167" s="21" t="n"/>
      <c r="C167" s="21" t="n"/>
      <c r="D167" s="21" t="n"/>
      <c r="E167" s="21" t="n"/>
      <c r="F167" s="22" t="n"/>
      <c r="G167" s="21" t="n"/>
      <c r="H167" s="23">
        <f>IFERROR(IF(G167="","",VLOOKUP(G167,'Setup - Vehicles'!$A$5:$D$304,4,0)),"")</f>
        <v/>
      </c>
      <c r="I167" s="23">
        <f>IFERROR(IF(E167="","",VLOOKUP(E167,'Setup - Mix Design'!$A$5:$I$304,9,0)),"")</f>
        <v/>
      </c>
      <c r="J167" s="23">
        <f>IF(OR(F167="",I167=""),"",F167*I167)</f>
        <v/>
      </c>
      <c r="K167" s="21" t="n"/>
    </row>
    <row r="168">
      <c r="A168" s="26" t="n"/>
      <c r="B168" s="21" t="n"/>
      <c r="C168" s="21" t="n"/>
      <c r="D168" s="21" t="n"/>
      <c r="E168" s="21" t="n"/>
      <c r="F168" s="22" t="n"/>
      <c r="G168" s="21" t="n"/>
      <c r="H168" s="23">
        <f>IFERROR(IF(G168="","",VLOOKUP(G168,'Setup - Vehicles'!$A$5:$D$304,4,0)),"")</f>
        <v/>
      </c>
      <c r="I168" s="23">
        <f>IFERROR(IF(E168="","",VLOOKUP(E168,'Setup - Mix Design'!$A$5:$I$304,9,0)),"")</f>
        <v/>
      </c>
      <c r="J168" s="23">
        <f>IF(OR(F168="",I168=""),"",F168*I168)</f>
        <v/>
      </c>
      <c r="K168" s="21" t="n"/>
    </row>
    <row r="169">
      <c r="A169" s="26" t="n"/>
      <c r="B169" s="21" t="n"/>
      <c r="C169" s="21" t="n"/>
      <c r="D169" s="21" t="n"/>
      <c r="E169" s="21" t="n"/>
      <c r="F169" s="22" t="n"/>
      <c r="G169" s="21" t="n"/>
      <c r="H169" s="23">
        <f>IFERROR(IF(G169="","",VLOOKUP(G169,'Setup - Vehicles'!$A$5:$D$304,4,0)),"")</f>
        <v/>
      </c>
      <c r="I169" s="23">
        <f>IFERROR(IF(E169="","",VLOOKUP(E169,'Setup - Mix Design'!$A$5:$I$304,9,0)),"")</f>
        <v/>
      </c>
      <c r="J169" s="23">
        <f>IF(OR(F169="",I169=""),"",F169*I169)</f>
        <v/>
      </c>
      <c r="K169" s="21" t="n"/>
    </row>
    <row r="170">
      <c r="A170" s="26" t="n"/>
      <c r="B170" s="21" t="n"/>
      <c r="C170" s="21" t="n"/>
      <c r="D170" s="21" t="n"/>
      <c r="E170" s="21" t="n"/>
      <c r="F170" s="22" t="n"/>
      <c r="G170" s="21" t="n"/>
      <c r="H170" s="23">
        <f>IFERROR(IF(G170="","",VLOOKUP(G170,'Setup - Vehicles'!$A$5:$D$304,4,0)),"")</f>
        <v/>
      </c>
      <c r="I170" s="23">
        <f>IFERROR(IF(E170="","",VLOOKUP(E170,'Setup - Mix Design'!$A$5:$I$304,9,0)),"")</f>
        <v/>
      </c>
      <c r="J170" s="23">
        <f>IF(OR(F170="",I170=""),"",F170*I170)</f>
        <v/>
      </c>
      <c r="K170" s="21" t="n"/>
    </row>
    <row r="171">
      <c r="A171" s="26" t="n"/>
      <c r="B171" s="21" t="n"/>
      <c r="C171" s="21" t="n"/>
      <c r="D171" s="21" t="n"/>
      <c r="E171" s="21" t="n"/>
      <c r="F171" s="22" t="n"/>
      <c r="G171" s="21" t="n"/>
      <c r="H171" s="23">
        <f>IFERROR(IF(G171="","",VLOOKUP(G171,'Setup - Vehicles'!$A$5:$D$304,4,0)),"")</f>
        <v/>
      </c>
      <c r="I171" s="23">
        <f>IFERROR(IF(E171="","",VLOOKUP(E171,'Setup - Mix Design'!$A$5:$I$304,9,0)),"")</f>
        <v/>
      </c>
      <c r="J171" s="23">
        <f>IF(OR(F171="",I171=""),"",F171*I171)</f>
        <v/>
      </c>
      <c r="K171" s="21" t="n"/>
    </row>
    <row r="172">
      <c r="A172" s="26" t="n"/>
      <c r="B172" s="21" t="n"/>
      <c r="C172" s="21" t="n"/>
      <c r="D172" s="21" t="n"/>
      <c r="E172" s="21" t="n"/>
      <c r="F172" s="22" t="n"/>
      <c r="G172" s="21" t="n"/>
      <c r="H172" s="23">
        <f>IFERROR(IF(G172="","",VLOOKUP(G172,'Setup - Vehicles'!$A$5:$D$304,4,0)),"")</f>
        <v/>
      </c>
      <c r="I172" s="23">
        <f>IFERROR(IF(E172="","",VLOOKUP(E172,'Setup - Mix Design'!$A$5:$I$304,9,0)),"")</f>
        <v/>
      </c>
      <c r="J172" s="23">
        <f>IF(OR(F172="",I172=""),"",F172*I172)</f>
        <v/>
      </c>
      <c r="K172" s="21" t="n"/>
    </row>
    <row r="173">
      <c r="A173" s="26" t="n"/>
      <c r="B173" s="21" t="n"/>
      <c r="C173" s="21" t="n"/>
      <c r="D173" s="21" t="n"/>
      <c r="E173" s="21" t="n"/>
      <c r="F173" s="22" t="n"/>
      <c r="G173" s="21" t="n"/>
      <c r="H173" s="23">
        <f>IFERROR(IF(G173="","",VLOOKUP(G173,'Setup - Vehicles'!$A$5:$D$304,4,0)),"")</f>
        <v/>
      </c>
      <c r="I173" s="23">
        <f>IFERROR(IF(E173="","",VLOOKUP(E173,'Setup - Mix Design'!$A$5:$I$304,9,0)),"")</f>
        <v/>
      </c>
      <c r="J173" s="23">
        <f>IF(OR(F173="",I173=""),"",F173*I173)</f>
        <v/>
      </c>
      <c r="K173" s="21" t="n"/>
    </row>
    <row r="174">
      <c r="A174" s="26" t="n"/>
      <c r="B174" s="21" t="n"/>
      <c r="C174" s="21" t="n"/>
      <c r="D174" s="21" t="n"/>
      <c r="E174" s="21" t="n"/>
      <c r="F174" s="22" t="n"/>
      <c r="G174" s="21" t="n"/>
      <c r="H174" s="23">
        <f>IFERROR(IF(G174="","",VLOOKUP(G174,'Setup - Vehicles'!$A$5:$D$304,4,0)),"")</f>
        <v/>
      </c>
      <c r="I174" s="23">
        <f>IFERROR(IF(E174="","",VLOOKUP(E174,'Setup - Mix Design'!$A$5:$I$304,9,0)),"")</f>
        <v/>
      </c>
      <c r="J174" s="23">
        <f>IF(OR(F174="",I174=""),"",F174*I174)</f>
        <v/>
      </c>
      <c r="K174" s="21" t="n"/>
    </row>
    <row r="175">
      <c r="A175" s="26" t="n"/>
      <c r="B175" s="21" t="n"/>
      <c r="C175" s="21" t="n"/>
      <c r="D175" s="21" t="n"/>
      <c r="E175" s="21" t="n"/>
      <c r="F175" s="22" t="n"/>
      <c r="G175" s="21" t="n"/>
      <c r="H175" s="23">
        <f>IFERROR(IF(G175="","",VLOOKUP(G175,'Setup - Vehicles'!$A$5:$D$304,4,0)),"")</f>
        <v/>
      </c>
      <c r="I175" s="23">
        <f>IFERROR(IF(E175="","",VLOOKUP(E175,'Setup - Mix Design'!$A$5:$I$304,9,0)),"")</f>
        <v/>
      </c>
      <c r="J175" s="23">
        <f>IF(OR(F175="",I175=""),"",F175*I175)</f>
        <v/>
      </c>
      <c r="K175" s="21" t="n"/>
    </row>
    <row r="176">
      <c r="A176" s="26" t="n"/>
      <c r="B176" s="21" t="n"/>
      <c r="C176" s="21" t="n"/>
      <c r="D176" s="21" t="n"/>
      <c r="E176" s="21" t="n"/>
      <c r="F176" s="22" t="n"/>
      <c r="G176" s="21" t="n"/>
      <c r="H176" s="23">
        <f>IFERROR(IF(G176="","",VLOOKUP(G176,'Setup - Vehicles'!$A$5:$D$304,4,0)),"")</f>
        <v/>
      </c>
      <c r="I176" s="23">
        <f>IFERROR(IF(E176="","",VLOOKUP(E176,'Setup - Mix Design'!$A$5:$I$304,9,0)),"")</f>
        <v/>
      </c>
      <c r="J176" s="23">
        <f>IF(OR(F176="",I176=""),"",F176*I176)</f>
        <v/>
      </c>
      <c r="K176" s="21" t="n"/>
    </row>
    <row r="177">
      <c r="A177" s="26" t="n"/>
      <c r="B177" s="21" t="n"/>
      <c r="C177" s="21" t="n"/>
      <c r="D177" s="21" t="n"/>
      <c r="E177" s="21" t="n"/>
      <c r="F177" s="22" t="n"/>
      <c r="G177" s="21" t="n"/>
      <c r="H177" s="23">
        <f>IFERROR(IF(G177="","",VLOOKUP(G177,'Setup - Vehicles'!$A$5:$D$304,4,0)),"")</f>
        <v/>
      </c>
      <c r="I177" s="23">
        <f>IFERROR(IF(E177="","",VLOOKUP(E177,'Setup - Mix Design'!$A$5:$I$304,9,0)),"")</f>
        <v/>
      </c>
      <c r="J177" s="23">
        <f>IF(OR(F177="",I177=""),"",F177*I177)</f>
        <v/>
      </c>
      <c r="K177" s="21" t="n"/>
    </row>
    <row r="178">
      <c r="A178" s="26" t="n"/>
      <c r="B178" s="21" t="n"/>
      <c r="C178" s="21" t="n"/>
      <c r="D178" s="21" t="n"/>
      <c r="E178" s="21" t="n"/>
      <c r="F178" s="22" t="n"/>
      <c r="G178" s="21" t="n"/>
      <c r="H178" s="23">
        <f>IFERROR(IF(G178="","",VLOOKUP(G178,'Setup - Vehicles'!$A$5:$D$304,4,0)),"")</f>
        <v/>
      </c>
      <c r="I178" s="23">
        <f>IFERROR(IF(E178="","",VLOOKUP(E178,'Setup - Mix Design'!$A$5:$I$304,9,0)),"")</f>
        <v/>
      </c>
      <c r="J178" s="23">
        <f>IF(OR(F178="",I178=""),"",F178*I178)</f>
        <v/>
      </c>
      <c r="K178" s="21" t="n"/>
    </row>
    <row r="179">
      <c r="A179" s="26" t="n"/>
      <c r="B179" s="21" t="n"/>
      <c r="C179" s="21" t="n"/>
      <c r="D179" s="21" t="n"/>
      <c r="E179" s="21" t="n"/>
      <c r="F179" s="22" t="n"/>
      <c r="G179" s="21" t="n"/>
      <c r="H179" s="23">
        <f>IFERROR(IF(G179="","",VLOOKUP(G179,'Setup - Vehicles'!$A$5:$D$304,4,0)),"")</f>
        <v/>
      </c>
      <c r="I179" s="23">
        <f>IFERROR(IF(E179="","",VLOOKUP(E179,'Setup - Mix Design'!$A$5:$I$304,9,0)),"")</f>
        <v/>
      </c>
      <c r="J179" s="23">
        <f>IF(OR(F179="",I179=""),"",F179*I179)</f>
        <v/>
      </c>
      <c r="K179" s="21" t="n"/>
    </row>
    <row r="180">
      <c r="A180" s="26" t="n"/>
      <c r="B180" s="21" t="n"/>
      <c r="C180" s="21" t="n"/>
      <c r="D180" s="21" t="n"/>
      <c r="E180" s="21" t="n"/>
      <c r="F180" s="22" t="n"/>
      <c r="G180" s="21" t="n"/>
      <c r="H180" s="23">
        <f>IFERROR(IF(G180="","",VLOOKUP(G180,'Setup - Vehicles'!$A$5:$D$304,4,0)),"")</f>
        <v/>
      </c>
      <c r="I180" s="23">
        <f>IFERROR(IF(E180="","",VLOOKUP(E180,'Setup - Mix Design'!$A$5:$I$304,9,0)),"")</f>
        <v/>
      </c>
      <c r="J180" s="23">
        <f>IF(OR(F180="",I180=""),"",F180*I180)</f>
        <v/>
      </c>
      <c r="K180" s="21" t="n"/>
    </row>
    <row r="181">
      <c r="A181" s="26" t="n"/>
      <c r="B181" s="21" t="n"/>
      <c r="C181" s="21" t="n"/>
      <c r="D181" s="21" t="n"/>
      <c r="E181" s="21" t="n"/>
      <c r="F181" s="22" t="n"/>
      <c r="G181" s="21" t="n"/>
      <c r="H181" s="23">
        <f>IFERROR(IF(G181="","",VLOOKUP(G181,'Setup - Vehicles'!$A$5:$D$304,4,0)),"")</f>
        <v/>
      </c>
      <c r="I181" s="23">
        <f>IFERROR(IF(E181="","",VLOOKUP(E181,'Setup - Mix Design'!$A$5:$I$304,9,0)),"")</f>
        <v/>
      </c>
      <c r="J181" s="23">
        <f>IF(OR(F181="",I181=""),"",F181*I181)</f>
        <v/>
      </c>
      <c r="K181" s="21" t="n"/>
    </row>
    <row r="182">
      <c r="A182" s="26" t="n"/>
      <c r="B182" s="21" t="n"/>
      <c r="C182" s="21" t="n"/>
      <c r="D182" s="21" t="n"/>
      <c r="E182" s="21" t="n"/>
      <c r="F182" s="22" t="n"/>
      <c r="G182" s="21" t="n"/>
      <c r="H182" s="23">
        <f>IFERROR(IF(G182="","",VLOOKUP(G182,'Setup - Vehicles'!$A$5:$D$304,4,0)),"")</f>
        <v/>
      </c>
      <c r="I182" s="23">
        <f>IFERROR(IF(E182="","",VLOOKUP(E182,'Setup - Mix Design'!$A$5:$I$304,9,0)),"")</f>
        <v/>
      </c>
      <c r="J182" s="23">
        <f>IF(OR(F182="",I182=""),"",F182*I182)</f>
        <v/>
      </c>
      <c r="K182" s="21" t="n"/>
    </row>
    <row r="183">
      <c r="A183" s="26" t="n"/>
      <c r="B183" s="21" t="n"/>
      <c r="C183" s="21" t="n"/>
      <c r="D183" s="21" t="n"/>
      <c r="E183" s="21" t="n"/>
      <c r="F183" s="22" t="n"/>
      <c r="G183" s="21" t="n"/>
      <c r="H183" s="23">
        <f>IFERROR(IF(G183="","",VLOOKUP(G183,'Setup - Vehicles'!$A$5:$D$304,4,0)),"")</f>
        <v/>
      </c>
      <c r="I183" s="23">
        <f>IFERROR(IF(E183="","",VLOOKUP(E183,'Setup - Mix Design'!$A$5:$I$304,9,0)),"")</f>
        <v/>
      </c>
      <c r="J183" s="23">
        <f>IF(OR(F183="",I183=""),"",F183*I183)</f>
        <v/>
      </c>
      <c r="K183" s="21" t="n"/>
    </row>
    <row r="184">
      <c r="A184" s="26" t="n"/>
      <c r="B184" s="21" t="n"/>
      <c r="C184" s="21" t="n"/>
      <c r="D184" s="21" t="n"/>
      <c r="E184" s="21" t="n"/>
      <c r="F184" s="22" t="n"/>
      <c r="G184" s="21" t="n"/>
      <c r="H184" s="23">
        <f>IFERROR(IF(G184="","",VLOOKUP(G184,'Setup - Vehicles'!$A$5:$D$304,4,0)),"")</f>
        <v/>
      </c>
      <c r="I184" s="23">
        <f>IFERROR(IF(E184="","",VLOOKUP(E184,'Setup - Mix Design'!$A$5:$I$304,9,0)),"")</f>
        <v/>
      </c>
      <c r="J184" s="23">
        <f>IF(OR(F184="",I184=""),"",F184*I184)</f>
        <v/>
      </c>
      <c r="K184" s="21" t="n"/>
    </row>
    <row r="185">
      <c r="A185" s="26" t="n"/>
      <c r="B185" s="21" t="n"/>
      <c r="C185" s="21" t="n"/>
      <c r="D185" s="21" t="n"/>
      <c r="E185" s="21" t="n"/>
      <c r="F185" s="22" t="n"/>
      <c r="G185" s="21" t="n"/>
      <c r="H185" s="23">
        <f>IFERROR(IF(G185="","",VLOOKUP(G185,'Setup - Vehicles'!$A$5:$D$304,4,0)),"")</f>
        <v/>
      </c>
      <c r="I185" s="23">
        <f>IFERROR(IF(E185="","",VLOOKUP(E185,'Setup - Mix Design'!$A$5:$I$304,9,0)),"")</f>
        <v/>
      </c>
      <c r="J185" s="23">
        <f>IF(OR(F185="",I185=""),"",F185*I185)</f>
        <v/>
      </c>
      <c r="K185" s="21" t="n"/>
    </row>
    <row r="186">
      <c r="A186" s="26" t="n"/>
      <c r="B186" s="21" t="n"/>
      <c r="C186" s="21" t="n"/>
      <c r="D186" s="21" t="n"/>
      <c r="E186" s="21" t="n"/>
      <c r="F186" s="22" t="n"/>
      <c r="G186" s="21" t="n"/>
      <c r="H186" s="23">
        <f>IFERROR(IF(G186="","",VLOOKUP(G186,'Setup - Vehicles'!$A$5:$D$304,4,0)),"")</f>
        <v/>
      </c>
      <c r="I186" s="23">
        <f>IFERROR(IF(E186="","",VLOOKUP(E186,'Setup - Mix Design'!$A$5:$I$304,9,0)),"")</f>
        <v/>
      </c>
      <c r="J186" s="23">
        <f>IF(OR(F186="",I186=""),"",F186*I186)</f>
        <v/>
      </c>
      <c r="K186" s="21" t="n"/>
    </row>
    <row r="187">
      <c r="A187" s="26" t="n"/>
      <c r="B187" s="21" t="n"/>
      <c r="C187" s="21" t="n"/>
      <c r="D187" s="21" t="n"/>
      <c r="E187" s="21" t="n"/>
      <c r="F187" s="22" t="n"/>
      <c r="G187" s="21" t="n"/>
      <c r="H187" s="23">
        <f>IFERROR(IF(G187="","",VLOOKUP(G187,'Setup - Vehicles'!$A$5:$D$304,4,0)),"")</f>
        <v/>
      </c>
      <c r="I187" s="23">
        <f>IFERROR(IF(E187="","",VLOOKUP(E187,'Setup - Mix Design'!$A$5:$I$304,9,0)),"")</f>
        <v/>
      </c>
      <c r="J187" s="23">
        <f>IF(OR(F187="",I187=""),"",F187*I187)</f>
        <v/>
      </c>
      <c r="K187" s="21" t="n"/>
    </row>
    <row r="188">
      <c r="A188" s="26" t="n"/>
      <c r="B188" s="21" t="n"/>
      <c r="C188" s="21" t="n"/>
      <c r="D188" s="21" t="n"/>
      <c r="E188" s="21" t="n"/>
      <c r="F188" s="22" t="n"/>
      <c r="G188" s="21" t="n"/>
      <c r="H188" s="23">
        <f>IFERROR(IF(G188="","",VLOOKUP(G188,'Setup - Vehicles'!$A$5:$D$304,4,0)),"")</f>
        <v/>
      </c>
      <c r="I188" s="23">
        <f>IFERROR(IF(E188="","",VLOOKUP(E188,'Setup - Mix Design'!$A$5:$I$304,9,0)),"")</f>
        <v/>
      </c>
      <c r="J188" s="23">
        <f>IF(OR(F188="",I188=""),"",F188*I188)</f>
        <v/>
      </c>
      <c r="K188" s="21" t="n"/>
    </row>
    <row r="189">
      <c r="A189" s="26" t="n"/>
      <c r="B189" s="21" t="n"/>
      <c r="C189" s="21" t="n"/>
      <c r="D189" s="21" t="n"/>
      <c r="E189" s="21" t="n"/>
      <c r="F189" s="22" t="n"/>
      <c r="G189" s="21" t="n"/>
      <c r="H189" s="23">
        <f>IFERROR(IF(G189="","",VLOOKUP(G189,'Setup - Vehicles'!$A$5:$D$304,4,0)),"")</f>
        <v/>
      </c>
      <c r="I189" s="23">
        <f>IFERROR(IF(E189="","",VLOOKUP(E189,'Setup - Mix Design'!$A$5:$I$304,9,0)),"")</f>
        <v/>
      </c>
      <c r="J189" s="23">
        <f>IF(OR(F189="",I189=""),"",F189*I189)</f>
        <v/>
      </c>
      <c r="K189" s="21" t="n"/>
    </row>
    <row r="190">
      <c r="A190" s="26" t="n"/>
      <c r="B190" s="21" t="n"/>
      <c r="C190" s="21" t="n"/>
      <c r="D190" s="21" t="n"/>
      <c r="E190" s="21" t="n"/>
      <c r="F190" s="22" t="n"/>
      <c r="G190" s="21" t="n"/>
      <c r="H190" s="23">
        <f>IFERROR(IF(G190="","",VLOOKUP(G190,'Setup - Vehicles'!$A$5:$D$304,4,0)),"")</f>
        <v/>
      </c>
      <c r="I190" s="23">
        <f>IFERROR(IF(E190="","",VLOOKUP(E190,'Setup - Mix Design'!$A$5:$I$304,9,0)),"")</f>
        <v/>
      </c>
      <c r="J190" s="23">
        <f>IF(OR(F190="",I190=""),"",F190*I190)</f>
        <v/>
      </c>
      <c r="K190" s="21" t="n"/>
    </row>
    <row r="191">
      <c r="A191" s="26" t="n"/>
      <c r="B191" s="21" t="n"/>
      <c r="C191" s="21" t="n"/>
      <c r="D191" s="21" t="n"/>
      <c r="E191" s="21" t="n"/>
      <c r="F191" s="22" t="n"/>
      <c r="G191" s="21" t="n"/>
      <c r="H191" s="23">
        <f>IFERROR(IF(G191="","",VLOOKUP(G191,'Setup - Vehicles'!$A$5:$D$304,4,0)),"")</f>
        <v/>
      </c>
      <c r="I191" s="23">
        <f>IFERROR(IF(E191="","",VLOOKUP(E191,'Setup - Mix Design'!$A$5:$I$304,9,0)),"")</f>
        <v/>
      </c>
      <c r="J191" s="23">
        <f>IF(OR(F191="",I191=""),"",F191*I191)</f>
        <v/>
      </c>
      <c r="K191" s="21" t="n"/>
    </row>
    <row r="192">
      <c r="A192" s="26" t="n"/>
      <c r="B192" s="21" t="n"/>
      <c r="C192" s="21" t="n"/>
      <c r="D192" s="21" t="n"/>
      <c r="E192" s="21" t="n"/>
      <c r="F192" s="22" t="n"/>
      <c r="G192" s="21" t="n"/>
      <c r="H192" s="23">
        <f>IFERROR(IF(G192="","",VLOOKUP(G192,'Setup - Vehicles'!$A$5:$D$304,4,0)),"")</f>
        <v/>
      </c>
      <c r="I192" s="23">
        <f>IFERROR(IF(E192="","",VLOOKUP(E192,'Setup - Mix Design'!$A$5:$I$304,9,0)),"")</f>
        <v/>
      </c>
      <c r="J192" s="23">
        <f>IF(OR(F192="",I192=""),"",F192*I192)</f>
        <v/>
      </c>
      <c r="K192" s="21" t="n"/>
    </row>
    <row r="193">
      <c r="A193" s="26" t="n"/>
      <c r="B193" s="21" t="n"/>
      <c r="C193" s="21" t="n"/>
      <c r="D193" s="21" t="n"/>
      <c r="E193" s="21" t="n"/>
      <c r="F193" s="22" t="n"/>
      <c r="G193" s="21" t="n"/>
      <c r="H193" s="23">
        <f>IFERROR(IF(G193="","",VLOOKUP(G193,'Setup - Vehicles'!$A$5:$D$304,4,0)),"")</f>
        <v/>
      </c>
      <c r="I193" s="23">
        <f>IFERROR(IF(E193="","",VLOOKUP(E193,'Setup - Mix Design'!$A$5:$I$304,9,0)),"")</f>
        <v/>
      </c>
      <c r="J193" s="23">
        <f>IF(OR(F193="",I193=""),"",F193*I193)</f>
        <v/>
      </c>
      <c r="K193" s="21" t="n"/>
    </row>
    <row r="194">
      <c r="A194" s="26" t="n"/>
      <c r="B194" s="21" t="n"/>
      <c r="C194" s="21" t="n"/>
      <c r="D194" s="21" t="n"/>
      <c r="E194" s="21" t="n"/>
      <c r="F194" s="22" t="n"/>
      <c r="G194" s="21" t="n"/>
      <c r="H194" s="23">
        <f>IFERROR(IF(G194="","",VLOOKUP(G194,'Setup - Vehicles'!$A$5:$D$304,4,0)),"")</f>
        <v/>
      </c>
      <c r="I194" s="23">
        <f>IFERROR(IF(E194="","",VLOOKUP(E194,'Setup - Mix Design'!$A$5:$I$304,9,0)),"")</f>
        <v/>
      </c>
      <c r="J194" s="23">
        <f>IF(OR(F194="",I194=""),"",F194*I194)</f>
        <v/>
      </c>
      <c r="K194" s="21" t="n"/>
    </row>
    <row r="195">
      <c r="A195" s="26" t="n"/>
      <c r="B195" s="21" t="n"/>
      <c r="C195" s="21" t="n"/>
      <c r="D195" s="21" t="n"/>
      <c r="E195" s="21" t="n"/>
      <c r="F195" s="22" t="n"/>
      <c r="G195" s="21" t="n"/>
      <c r="H195" s="23">
        <f>IFERROR(IF(G195="","",VLOOKUP(G195,'Setup - Vehicles'!$A$5:$D$304,4,0)),"")</f>
        <v/>
      </c>
      <c r="I195" s="23">
        <f>IFERROR(IF(E195="","",VLOOKUP(E195,'Setup - Mix Design'!$A$5:$I$304,9,0)),"")</f>
        <v/>
      </c>
      <c r="J195" s="23">
        <f>IF(OR(F195="",I195=""),"",F195*I195)</f>
        <v/>
      </c>
      <c r="K195" s="21" t="n"/>
    </row>
    <row r="196">
      <c r="A196" s="26" t="n"/>
      <c r="B196" s="21" t="n"/>
      <c r="C196" s="21" t="n"/>
      <c r="D196" s="21" t="n"/>
      <c r="E196" s="21" t="n"/>
      <c r="F196" s="22" t="n"/>
      <c r="G196" s="21" t="n"/>
      <c r="H196" s="23">
        <f>IFERROR(IF(G196="","",VLOOKUP(G196,'Setup - Vehicles'!$A$5:$D$304,4,0)),"")</f>
        <v/>
      </c>
      <c r="I196" s="23">
        <f>IFERROR(IF(E196="","",VLOOKUP(E196,'Setup - Mix Design'!$A$5:$I$304,9,0)),"")</f>
        <v/>
      </c>
      <c r="J196" s="23">
        <f>IF(OR(F196="",I196=""),"",F196*I196)</f>
        <v/>
      </c>
      <c r="K196" s="21" t="n"/>
    </row>
    <row r="197">
      <c r="A197" s="26" t="n"/>
      <c r="B197" s="21" t="n"/>
      <c r="C197" s="21" t="n"/>
      <c r="D197" s="21" t="n"/>
      <c r="E197" s="21" t="n"/>
      <c r="F197" s="22" t="n"/>
      <c r="G197" s="21" t="n"/>
      <c r="H197" s="23">
        <f>IFERROR(IF(G197="","",VLOOKUP(G197,'Setup - Vehicles'!$A$5:$D$304,4,0)),"")</f>
        <v/>
      </c>
      <c r="I197" s="23">
        <f>IFERROR(IF(E197="","",VLOOKUP(E197,'Setup - Mix Design'!$A$5:$I$304,9,0)),"")</f>
        <v/>
      </c>
      <c r="J197" s="23">
        <f>IF(OR(F197="",I197=""),"",F197*I197)</f>
        <v/>
      </c>
      <c r="K197" s="21" t="n"/>
    </row>
    <row r="198">
      <c r="A198" s="26" t="n"/>
      <c r="B198" s="21" t="n"/>
      <c r="C198" s="21" t="n"/>
      <c r="D198" s="21" t="n"/>
      <c r="E198" s="21" t="n"/>
      <c r="F198" s="22" t="n"/>
      <c r="G198" s="21" t="n"/>
      <c r="H198" s="23">
        <f>IFERROR(IF(G198="","",VLOOKUP(G198,'Setup - Vehicles'!$A$5:$D$304,4,0)),"")</f>
        <v/>
      </c>
      <c r="I198" s="23">
        <f>IFERROR(IF(E198="","",VLOOKUP(E198,'Setup - Mix Design'!$A$5:$I$304,9,0)),"")</f>
        <v/>
      </c>
      <c r="J198" s="23">
        <f>IF(OR(F198="",I198=""),"",F198*I198)</f>
        <v/>
      </c>
      <c r="K198" s="21" t="n"/>
    </row>
    <row r="199">
      <c r="A199" s="26" t="n"/>
      <c r="B199" s="21" t="n"/>
      <c r="C199" s="21" t="n"/>
      <c r="D199" s="21" t="n"/>
      <c r="E199" s="21" t="n"/>
      <c r="F199" s="22" t="n"/>
      <c r="G199" s="21" t="n"/>
      <c r="H199" s="23">
        <f>IFERROR(IF(G199="","",VLOOKUP(G199,'Setup - Vehicles'!$A$5:$D$304,4,0)),"")</f>
        <v/>
      </c>
      <c r="I199" s="23">
        <f>IFERROR(IF(E199="","",VLOOKUP(E199,'Setup - Mix Design'!$A$5:$I$304,9,0)),"")</f>
        <v/>
      </c>
      <c r="J199" s="23">
        <f>IF(OR(F199="",I199=""),"",F199*I199)</f>
        <v/>
      </c>
      <c r="K199" s="21" t="n"/>
    </row>
    <row r="200">
      <c r="A200" s="26" t="n"/>
      <c r="B200" s="21" t="n"/>
      <c r="C200" s="21" t="n"/>
      <c r="D200" s="21" t="n"/>
      <c r="E200" s="21" t="n"/>
      <c r="F200" s="22" t="n"/>
      <c r="G200" s="21" t="n"/>
      <c r="H200" s="23">
        <f>IFERROR(IF(G200="","",VLOOKUP(G200,'Setup - Vehicles'!$A$5:$D$304,4,0)),"")</f>
        <v/>
      </c>
      <c r="I200" s="23">
        <f>IFERROR(IF(E200="","",VLOOKUP(E200,'Setup - Mix Design'!$A$5:$I$304,9,0)),"")</f>
        <v/>
      </c>
      <c r="J200" s="23">
        <f>IF(OR(F200="",I200=""),"",F200*I200)</f>
        <v/>
      </c>
      <c r="K200" s="21" t="n"/>
    </row>
    <row r="201">
      <c r="A201" s="26" t="n"/>
      <c r="B201" s="21" t="n"/>
      <c r="C201" s="21" t="n"/>
      <c r="D201" s="21" t="n"/>
      <c r="E201" s="21" t="n"/>
      <c r="F201" s="22" t="n"/>
      <c r="G201" s="21" t="n"/>
      <c r="H201" s="23">
        <f>IFERROR(IF(G201="","",VLOOKUP(G201,'Setup - Vehicles'!$A$5:$D$304,4,0)),"")</f>
        <v/>
      </c>
      <c r="I201" s="23">
        <f>IFERROR(IF(E201="","",VLOOKUP(E201,'Setup - Mix Design'!$A$5:$I$304,9,0)),"")</f>
        <v/>
      </c>
      <c r="J201" s="23">
        <f>IF(OR(F201="",I201=""),"",F201*I201)</f>
        <v/>
      </c>
      <c r="K201" s="21" t="n"/>
    </row>
    <row r="202">
      <c r="A202" s="26" t="n"/>
      <c r="B202" s="21" t="n"/>
      <c r="C202" s="21" t="n"/>
      <c r="D202" s="21" t="n"/>
      <c r="E202" s="21" t="n"/>
      <c r="F202" s="22" t="n"/>
      <c r="G202" s="21" t="n"/>
      <c r="H202" s="23">
        <f>IFERROR(IF(G202="","",VLOOKUP(G202,'Setup - Vehicles'!$A$5:$D$304,4,0)),"")</f>
        <v/>
      </c>
      <c r="I202" s="23">
        <f>IFERROR(IF(E202="","",VLOOKUP(E202,'Setup - Mix Design'!$A$5:$I$304,9,0)),"")</f>
        <v/>
      </c>
      <c r="J202" s="23">
        <f>IF(OR(F202="",I202=""),"",F202*I202)</f>
        <v/>
      </c>
      <c r="K202" s="21" t="n"/>
    </row>
    <row r="203">
      <c r="A203" s="26" t="n"/>
      <c r="B203" s="21" t="n"/>
      <c r="C203" s="21" t="n"/>
      <c r="D203" s="21" t="n"/>
      <c r="E203" s="21" t="n"/>
      <c r="F203" s="22" t="n"/>
      <c r="G203" s="21" t="n"/>
      <c r="H203" s="23">
        <f>IFERROR(IF(G203="","",VLOOKUP(G203,'Setup - Vehicles'!$A$5:$D$304,4,0)),"")</f>
        <v/>
      </c>
      <c r="I203" s="23">
        <f>IFERROR(IF(E203="","",VLOOKUP(E203,'Setup - Mix Design'!$A$5:$I$304,9,0)),"")</f>
        <v/>
      </c>
      <c r="J203" s="23">
        <f>IF(OR(F203="",I203=""),"",F203*I203)</f>
        <v/>
      </c>
      <c r="K203" s="21" t="n"/>
    </row>
    <row r="204">
      <c r="A204" s="26" t="n"/>
      <c r="B204" s="21" t="n"/>
      <c r="C204" s="21" t="n"/>
      <c r="D204" s="21" t="n"/>
      <c r="E204" s="21" t="n"/>
      <c r="F204" s="22" t="n"/>
      <c r="G204" s="21" t="n"/>
      <c r="H204" s="23">
        <f>IFERROR(IF(G204="","",VLOOKUP(G204,'Setup - Vehicles'!$A$5:$D$304,4,0)),"")</f>
        <v/>
      </c>
      <c r="I204" s="23">
        <f>IFERROR(IF(E204="","",VLOOKUP(E204,'Setup - Mix Design'!$A$5:$I$304,9,0)),"")</f>
        <v/>
      </c>
      <c r="J204" s="23">
        <f>IF(OR(F204="",I204=""),"",F204*I204)</f>
        <v/>
      </c>
      <c r="K204" s="21" t="n"/>
    </row>
    <row r="205">
      <c r="A205" s="26" t="n"/>
      <c r="B205" s="21" t="n"/>
      <c r="C205" s="21" t="n"/>
      <c r="D205" s="21" t="n"/>
      <c r="E205" s="21" t="n"/>
      <c r="F205" s="22" t="n"/>
      <c r="G205" s="21" t="n"/>
      <c r="H205" s="23">
        <f>IFERROR(IF(G205="","",VLOOKUP(G205,'Setup - Vehicles'!$A$5:$D$304,4,0)),"")</f>
        <v/>
      </c>
      <c r="I205" s="23">
        <f>IFERROR(IF(E205="","",VLOOKUP(E205,'Setup - Mix Design'!$A$5:$I$304,9,0)),"")</f>
        <v/>
      </c>
      <c r="J205" s="23">
        <f>IF(OR(F205="",I205=""),"",F205*I205)</f>
        <v/>
      </c>
      <c r="K205" s="21" t="n"/>
    </row>
    <row r="206">
      <c r="A206" s="26" t="n"/>
      <c r="B206" s="21" t="n"/>
      <c r="C206" s="21" t="n"/>
      <c r="D206" s="21" t="n"/>
      <c r="E206" s="21" t="n"/>
      <c r="F206" s="22" t="n"/>
      <c r="G206" s="21" t="n"/>
      <c r="H206" s="23">
        <f>IFERROR(IF(G206="","",VLOOKUP(G206,'Setup - Vehicles'!$A$5:$D$304,4,0)),"")</f>
        <v/>
      </c>
      <c r="I206" s="23">
        <f>IFERROR(IF(E206="","",VLOOKUP(E206,'Setup - Mix Design'!$A$5:$I$304,9,0)),"")</f>
        <v/>
      </c>
      <c r="J206" s="23">
        <f>IF(OR(F206="",I206=""),"",F206*I206)</f>
        <v/>
      </c>
      <c r="K206" s="21" t="n"/>
    </row>
    <row r="207">
      <c r="A207" s="26" t="n"/>
      <c r="B207" s="21" t="n"/>
      <c r="C207" s="21" t="n"/>
      <c r="D207" s="21" t="n"/>
      <c r="E207" s="21" t="n"/>
      <c r="F207" s="22" t="n"/>
      <c r="G207" s="21" t="n"/>
      <c r="H207" s="23">
        <f>IFERROR(IF(G207="","",VLOOKUP(G207,'Setup - Vehicles'!$A$5:$D$304,4,0)),"")</f>
        <v/>
      </c>
      <c r="I207" s="23">
        <f>IFERROR(IF(E207="","",VLOOKUP(E207,'Setup - Mix Design'!$A$5:$I$304,9,0)),"")</f>
        <v/>
      </c>
      <c r="J207" s="23">
        <f>IF(OR(F207="",I207=""),"",F207*I207)</f>
        <v/>
      </c>
      <c r="K207" s="21" t="n"/>
    </row>
    <row r="208">
      <c r="A208" s="26" t="n"/>
      <c r="B208" s="21" t="n"/>
      <c r="C208" s="21" t="n"/>
      <c r="D208" s="21" t="n"/>
      <c r="E208" s="21" t="n"/>
      <c r="F208" s="22" t="n"/>
      <c r="G208" s="21" t="n"/>
      <c r="H208" s="23">
        <f>IFERROR(IF(G208="","",VLOOKUP(G208,'Setup - Vehicles'!$A$5:$D$304,4,0)),"")</f>
        <v/>
      </c>
      <c r="I208" s="23">
        <f>IFERROR(IF(E208="","",VLOOKUP(E208,'Setup - Mix Design'!$A$5:$I$304,9,0)),"")</f>
        <v/>
      </c>
      <c r="J208" s="23">
        <f>IF(OR(F208="",I208=""),"",F208*I208)</f>
        <v/>
      </c>
      <c r="K208" s="21" t="n"/>
    </row>
    <row r="209">
      <c r="A209" s="26" t="n"/>
      <c r="B209" s="21" t="n"/>
      <c r="C209" s="21" t="n"/>
      <c r="D209" s="21" t="n"/>
      <c r="E209" s="21" t="n"/>
      <c r="F209" s="22" t="n"/>
      <c r="G209" s="21" t="n"/>
      <c r="H209" s="23">
        <f>IFERROR(IF(G209="","",VLOOKUP(G209,'Setup - Vehicles'!$A$5:$D$304,4,0)),"")</f>
        <v/>
      </c>
      <c r="I209" s="23">
        <f>IFERROR(IF(E209="","",VLOOKUP(E209,'Setup - Mix Design'!$A$5:$I$304,9,0)),"")</f>
        <v/>
      </c>
      <c r="J209" s="23">
        <f>IF(OR(F209="",I209=""),"",F209*I209)</f>
        <v/>
      </c>
      <c r="K209" s="21" t="n"/>
    </row>
    <row r="210">
      <c r="A210" s="26" t="n"/>
      <c r="B210" s="21" t="n"/>
      <c r="C210" s="21" t="n"/>
      <c r="D210" s="21" t="n"/>
      <c r="E210" s="21" t="n"/>
      <c r="F210" s="22" t="n"/>
      <c r="G210" s="21" t="n"/>
      <c r="H210" s="23">
        <f>IFERROR(IF(G210="","",VLOOKUP(G210,'Setup - Vehicles'!$A$5:$D$304,4,0)),"")</f>
        <v/>
      </c>
      <c r="I210" s="23">
        <f>IFERROR(IF(E210="","",VLOOKUP(E210,'Setup - Mix Design'!$A$5:$I$304,9,0)),"")</f>
        <v/>
      </c>
      <c r="J210" s="23">
        <f>IF(OR(F210="",I210=""),"",F210*I210)</f>
        <v/>
      </c>
      <c r="K210" s="21" t="n"/>
    </row>
    <row r="211">
      <c r="A211" s="26" t="n"/>
      <c r="B211" s="21" t="n"/>
      <c r="C211" s="21" t="n"/>
      <c r="D211" s="21" t="n"/>
      <c r="E211" s="21" t="n"/>
      <c r="F211" s="22" t="n"/>
      <c r="G211" s="21" t="n"/>
      <c r="H211" s="23">
        <f>IFERROR(IF(G211="","",VLOOKUP(G211,'Setup - Vehicles'!$A$5:$D$304,4,0)),"")</f>
        <v/>
      </c>
      <c r="I211" s="23">
        <f>IFERROR(IF(E211="","",VLOOKUP(E211,'Setup - Mix Design'!$A$5:$I$304,9,0)),"")</f>
        <v/>
      </c>
      <c r="J211" s="23">
        <f>IF(OR(F211="",I211=""),"",F211*I211)</f>
        <v/>
      </c>
      <c r="K211" s="21" t="n"/>
    </row>
    <row r="212">
      <c r="A212" s="26" t="n"/>
      <c r="B212" s="21" t="n"/>
      <c r="C212" s="21" t="n"/>
      <c r="D212" s="21" t="n"/>
      <c r="E212" s="21" t="n"/>
      <c r="F212" s="22" t="n"/>
      <c r="G212" s="21" t="n"/>
      <c r="H212" s="23">
        <f>IFERROR(IF(G212="","",VLOOKUP(G212,'Setup - Vehicles'!$A$5:$D$304,4,0)),"")</f>
        <v/>
      </c>
      <c r="I212" s="23">
        <f>IFERROR(IF(E212="","",VLOOKUP(E212,'Setup - Mix Design'!$A$5:$I$304,9,0)),"")</f>
        <v/>
      </c>
      <c r="J212" s="23">
        <f>IF(OR(F212="",I212=""),"",F212*I212)</f>
        <v/>
      </c>
      <c r="K212" s="21" t="n"/>
    </row>
    <row r="213">
      <c r="A213" s="26" t="n"/>
      <c r="B213" s="21" t="n"/>
      <c r="C213" s="21" t="n"/>
      <c r="D213" s="21" t="n"/>
      <c r="E213" s="21" t="n"/>
      <c r="F213" s="22" t="n"/>
      <c r="G213" s="21" t="n"/>
      <c r="H213" s="23">
        <f>IFERROR(IF(G213="","",VLOOKUP(G213,'Setup - Vehicles'!$A$5:$D$304,4,0)),"")</f>
        <v/>
      </c>
      <c r="I213" s="23">
        <f>IFERROR(IF(E213="","",VLOOKUP(E213,'Setup - Mix Design'!$A$5:$I$304,9,0)),"")</f>
        <v/>
      </c>
      <c r="J213" s="23">
        <f>IF(OR(F213="",I213=""),"",F213*I213)</f>
        <v/>
      </c>
      <c r="K213" s="21" t="n"/>
    </row>
    <row r="214">
      <c r="A214" s="26" t="n"/>
      <c r="B214" s="21" t="n"/>
      <c r="C214" s="21" t="n"/>
      <c r="D214" s="21" t="n"/>
      <c r="E214" s="21" t="n"/>
      <c r="F214" s="22" t="n"/>
      <c r="G214" s="21" t="n"/>
      <c r="H214" s="23">
        <f>IFERROR(IF(G214="","",VLOOKUP(G214,'Setup - Vehicles'!$A$5:$D$304,4,0)),"")</f>
        <v/>
      </c>
      <c r="I214" s="23">
        <f>IFERROR(IF(E214="","",VLOOKUP(E214,'Setup - Mix Design'!$A$5:$I$304,9,0)),"")</f>
        <v/>
      </c>
      <c r="J214" s="23">
        <f>IF(OR(F214="",I214=""),"",F214*I214)</f>
        <v/>
      </c>
      <c r="K214" s="21" t="n"/>
    </row>
    <row r="215">
      <c r="A215" s="26" t="n"/>
      <c r="B215" s="21" t="n"/>
      <c r="C215" s="21" t="n"/>
      <c r="D215" s="21" t="n"/>
      <c r="E215" s="21" t="n"/>
      <c r="F215" s="22" t="n"/>
      <c r="G215" s="21" t="n"/>
      <c r="H215" s="23">
        <f>IFERROR(IF(G215="","",VLOOKUP(G215,'Setup - Vehicles'!$A$5:$D$304,4,0)),"")</f>
        <v/>
      </c>
      <c r="I215" s="23">
        <f>IFERROR(IF(E215="","",VLOOKUP(E215,'Setup - Mix Design'!$A$5:$I$304,9,0)),"")</f>
        <v/>
      </c>
      <c r="J215" s="23">
        <f>IF(OR(F215="",I215=""),"",F215*I215)</f>
        <v/>
      </c>
      <c r="K215" s="21" t="n"/>
    </row>
    <row r="216">
      <c r="A216" s="26" t="n"/>
      <c r="B216" s="21" t="n"/>
      <c r="C216" s="21" t="n"/>
      <c r="D216" s="21" t="n"/>
      <c r="E216" s="21" t="n"/>
      <c r="F216" s="22" t="n"/>
      <c r="G216" s="21" t="n"/>
      <c r="H216" s="23">
        <f>IFERROR(IF(G216="","",VLOOKUP(G216,'Setup - Vehicles'!$A$5:$D$304,4,0)),"")</f>
        <v/>
      </c>
      <c r="I216" s="23">
        <f>IFERROR(IF(E216="","",VLOOKUP(E216,'Setup - Mix Design'!$A$5:$I$304,9,0)),"")</f>
        <v/>
      </c>
      <c r="J216" s="23">
        <f>IF(OR(F216="",I216=""),"",F216*I216)</f>
        <v/>
      </c>
      <c r="K216" s="21" t="n"/>
    </row>
    <row r="217">
      <c r="A217" s="26" t="n"/>
      <c r="B217" s="21" t="n"/>
      <c r="C217" s="21" t="n"/>
      <c r="D217" s="21" t="n"/>
      <c r="E217" s="21" t="n"/>
      <c r="F217" s="22" t="n"/>
      <c r="G217" s="21" t="n"/>
      <c r="H217" s="23">
        <f>IFERROR(IF(G217="","",VLOOKUP(G217,'Setup - Vehicles'!$A$5:$D$304,4,0)),"")</f>
        <v/>
      </c>
      <c r="I217" s="23">
        <f>IFERROR(IF(E217="","",VLOOKUP(E217,'Setup - Mix Design'!$A$5:$I$304,9,0)),"")</f>
        <v/>
      </c>
      <c r="J217" s="23">
        <f>IF(OR(F217="",I217=""),"",F217*I217)</f>
        <v/>
      </c>
      <c r="K217" s="21" t="n"/>
    </row>
    <row r="218">
      <c r="A218" s="26" t="n"/>
      <c r="B218" s="21" t="n"/>
      <c r="C218" s="21" t="n"/>
      <c r="D218" s="21" t="n"/>
      <c r="E218" s="21" t="n"/>
      <c r="F218" s="22" t="n"/>
      <c r="G218" s="21" t="n"/>
      <c r="H218" s="23">
        <f>IFERROR(IF(G218="","",VLOOKUP(G218,'Setup - Vehicles'!$A$5:$D$304,4,0)),"")</f>
        <v/>
      </c>
      <c r="I218" s="23">
        <f>IFERROR(IF(E218="","",VLOOKUP(E218,'Setup - Mix Design'!$A$5:$I$304,9,0)),"")</f>
        <v/>
      </c>
      <c r="J218" s="23">
        <f>IF(OR(F218="",I218=""),"",F218*I218)</f>
        <v/>
      </c>
      <c r="K218" s="21" t="n"/>
    </row>
    <row r="219">
      <c r="A219" s="26" t="n"/>
      <c r="B219" s="21" t="n"/>
      <c r="C219" s="21" t="n"/>
      <c r="D219" s="21" t="n"/>
      <c r="E219" s="21" t="n"/>
      <c r="F219" s="22" t="n"/>
      <c r="G219" s="21" t="n"/>
      <c r="H219" s="23">
        <f>IFERROR(IF(G219="","",VLOOKUP(G219,'Setup - Vehicles'!$A$5:$D$304,4,0)),"")</f>
        <v/>
      </c>
      <c r="I219" s="23">
        <f>IFERROR(IF(E219="","",VLOOKUP(E219,'Setup - Mix Design'!$A$5:$I$304,9,0)),"")</f>
        <v/>
      </c>
      <c r="J219" s="23">
        <f>IF(OR(F219="",I219=""),"",F219*I219)</f>
        <v/>
      </c>
      <c r="K219" s="21" t="n"/>
    </row>
    <row r="220">
      <c r="A220" s="26" t="n"/>
      <c r="B220" s="21" t="n"/>
      <c r="C220" s="21" t="n"/>
      <c r="D220" s="21" t="n"/>
      <c r="E220" s="21" t="n"/>
      <c r="F220" s="22" t="n"/>
      <c r="G220" s="21" t="n"/>
      <c r="H220" s="23">
        <f>IFERROR(IF(G220="","",VLOOKUP(G220,'Setup - Vehicles'!$A$5:$D$304,4,0)),"")</f>
        <v/>
      </c>
      <c r="I220" s="23">
        <f>IFERROR(IF(E220="","",VLOOKUP(E220,'Setup - Mix Design'!$A$5:$I$304,9,0)),"")</f>
        <v/>
      </c>
      <c r="J220" s="23">
        <f>IF(OR(F220="",I220=""),"",F220*I220)</f>
        <v/>
      </c>
      <c r="K220" s="21" t="n"/>
    </row>
    <row r="221">
      <c r="A221" s="26" t="n"/>
      <c r="B221" s="21" t="n"/>
      <c r="C221" s="21" t="n"/>
      <c r="D221" s="21" t="n"/>
      <c r="E221" s="21" t="n"/>
      <c r="F221" s="22" t="n"/>
      <c r="G221" s="21" t="n"/>
      <c r="H221" s="23">
        <f>IFERROR(IF(G221="","",VLOOKUP(G221,'Setup - Vehicles'!$A$5:$D$304,4,0)),"")</f>
        <v/>
      </c>
      <c r="I221" s="23">
        <f>IFERROR(IF(E221="","",VLOOKUP(E221,'Setup - Mix Design'!$A$5:$I$304,9,0)),"")</f>
        <v/>
      </c>
      <c r="J221" s="23">
        <f>IF(OR(F221="",I221=""),"",F221*I221)</f>
        <v/>
      </c>
      <c r="K221" s="21" t="n"/>
    </row>
    <row r="222">
      <c r="A222" s="26" t="n"/>
      <c r="B222" s="21" t="n"/>
      <c r="C222" s="21" t="n"/>
      <c r="D222" s="21" t="n"/>
      <c r="E222" s="21" t="n"/>
      <c r="F222" s="22" t="n"/>
      <c r="G222" s="21" t="n"/>
      <c r="H222" s="23">
        <f>IFERROR(IF(G222="","",VLOOKUP(G222,'Setup - Vehicles'!$A$5:$D$304,4,0)),"")</f>
        <v/>
      </c>
      <c r="I222" s="23">
        <f>IFERROR(IF(E222="","",VLOOKUP(E222,'Setup - Mix Design'!$A$5:$I$304,9,0)),"")</f>
        <v/>
      </c>
      <c r="J222" s="23">
        <f>IF(OR(F222="",I222=""),"",F222*I222)</f>
        <v/>
      </c>
      <c r="K222" s="21" t="n"/>
    </row>
    <row r="223">
      <c r="A223" s="26" t="n"/>
      <c r="B223" s="21" t="n"/>
      <c r="C223" s="21" t="n"/>
      <c r="D223" s="21" t="n"/>
      <c r="E223" s="21" t="n"/>
      <c r="F223" s="22" t="n"/>
      <c r="G223" s="21" t="n"/>
      <c r="H223" s="23">
        <f>IFERROR(IF(G223="","",VLOOKUP(G223,'Setup - Vehicles'!$A$5:$D$304,4,0)),"")</f>
        <v/>
      </c>
      <c r="I223" s="23">
        <f>IFERROR(IF(E223="","",VLOOKUP(E223,'Setup - Mix Design'!$A$5:$I$304,9,0)),"")</f>
        <v/>
      </c>
      <c r="J223" s="23">
        <f>IF(OR(F223="",I223=""),"",F223*I223)</f>
        <v/>
      </c>
      <c r="K223" s="21" t="n"/>
    </row>
    <row r="224">
      <c r="A224" s="26" t="n"/>
      <c r="B224" s="21" t="n"/>
      <c r="C224" s="21" t="n"/>
      <c r="D224" s="21" t="n"/>
      <c r="E224" s="21" t="n"/>
      <c r="F224" s="22" t="n"/>
      <c r="G224" s="21" t="n"/>
      <c r="H224" s="23">
        <f>IFERROR(IF(G224="","",VLOOKUP(G224,'Setup - Vehicles'!$A$5:$D$304,4,0)),"")</f>
        <v/>
      </c>
      <c r="I224" s="23">
        <f>IFERROR(IF(E224="","",VLOOKUP(E224,'Setup - Mix Design'!$A$5:$I$304,9,0)),"")</f>
        <v/>
      </c>
      <c r="J224" s="23">
        <f>IF(OR(F224="",I224=""),"",F224*I224)</f>
        <v/>
      </c>
      <c r="K224" s="21" t="n"/>
    </row>
    <row r="225">
      <c r="A225" s="26" t="n"/>
      <c r="B225" s="21" t="n"/>
      <c r="C225" s="21" t="n"/>
      <c r="D225" s="21" t="n"/>
      <c r="E225" s="21" t="n"/>
      <c r="F225" s="22" t="n"/>
      <c r="G225" s="21" t="n"/>
      <c r="H225" s="23">
        <f>IFERROR(IF(G225="","",VLOOKUP(G225,'Setup - Vehicles'!$A$5:$D$304,4,0)),"")</f>
        <v/>
      </c>
      <c r="I225" s="23">
        <f>IFERROR(IF(E225="","",VLOOKUP(E225,'Setup - Mix Design'!$A$5:$I$304,9,0)),"")</f>
        <v/>
      </c>
      <c r="J225" s="23">
        <f>IF(OR(F225="",I225=""),"",F225*I225)</f>
        <v/>
      </c>
      <c r="K225" s="21" t="n"/>
    </row>
    <row r="226">
      <c r="A226" s="26" t="n"/>
      <c r="B226" s="21" t="n"/>
      <c r="C226" s="21" t="n"/>
      <c r="D226" s="21" t="n"/>
      <c r="E226" s="21" t="n"/>
      <c r="F226" s="22" t="n"/>
      <c r="G226" s="21" t="n"/>
      <c r="H226" s="23">
        <f>IFERROR(IF(G226="","",VLOOKUP(G226,'Setup - Vehicles'!$A$5:$D$304,4,0)),"")</f>
        <v/>
      </c>
      <c r="I226" s="23">
        <f>IFERROR(IF(E226="","",VLOOKUP(E226,'Setup - Mix Design'!$A$5:$I$304,9,0)),"")</f>
        <v/>
      </c>
      <c r="J226" s="23">
        <f>IF(OR(F226="",I226=""),"",F226*I226)</f>
        <v/>
      </c>
      <c r="K226" s="21" t="n"/>
    </row>
    <row r="227">
      <c r="A227" s="26" t="n"/>
      <c r="B227" s="21" t="n"/>
      <c r="C227" s="21" t="n"/>
      <c r="D227" s="21" t="n"/>
      <c r="E227" s="21" t="n"/>
      <c r="F227" s="22" t="n"/>
      <c r="G227" s="21" t="n"/>
      <c r="H227" s="23">
        <f>IFERROR(IF(G227="","",VLOOKUP(G227,'Setup - Vehicles'!$A$5:$D$304,4,0)),"")</f>
        <v/>
      </c>
      <c r="I227" s="23">
        <f>IFERROR(IF(E227="","",VLOOKUP(E227,'Setup - Mix Design'!$A$5:$I$304,9,0)),"")</f>
        <v/>
      </c>
      <c r="J227" s="23">
        <f>IF(OR(F227="",I227=""),"",F227*I227)</f>
        <v/>
      </c>
      <c r="K227" s="21" t="n"/>
    </row>
    <row r="228">
      <c r="A228" s="26" t="n"/>
      <c r="B228" s="21" t="n"/>
      <c r="C228" s="21" t="n"/>
      <c r="D228" s="21" t="n"/>
      <c r="E228" s="21" t="n"/>
      <c r="F228" s="22" t="n"/>
      <c r="G228" s="21" t="n"/>
      <c r="H228" s="23">
        <f>IFERROR(IF(G228="","",VLOOKUP(G228,'Setup - Vehicles'!$A$5:$D$304,4,0)),"")</f>
        <v/>
      </c>
      <c r="I228" s="23">
        <f>IFERROR(IF(E228="","",VLOOKUP(E228,'Setup - Mix Design'!$A$5:$I$304,9,0)),"")</f>
        <v/>
      </c>
      <c r="J228" s="23">
        <f>IF(OR(F228="",I228=""),"",F228*I228)</f>
        <v/>
      </c>
      <c r="K228" s="21" t="n"/>
    </row>
    <row r="229">
      <c r="A229" s="26" t="n"/>
      <c r="B229" s="21" t="n"/>
      <c r="C229" s="21" t="n"/>
      <c r="D229" s="21" t="n"/>
      <c r="E229" s="21" t="n"/>
      <c r="F229" s="22" t="n"/>
      <c r="G229" s="21" t="n"/>
      <c r="H229" s="23">
        <f>IFERROR(IF(G229="","",VLOOKUP(G229,'Setup - Vehicles'!$A$5:$D$304,4,0)),"")</f>
        <v/>
      </c>
      <c r="I229" s="23">
        <f>IFERROR(IF(E229="","",VLOOKUP(E229,'Setup - Mix Design'!$A$5:$I$304,9,0)),"")</f>
        <v/>
      </c>
      <c r="J229" s="23">
        <f>IF(OR(F229="",I229=""),"",F229*I229)</f>
        <v/>
      </c>
      <c r="K229" s="21" t="n"/>
    </row>
    <row r="230">
      <c r="A230" s="26" t="n"/>
      <c r="B230" s="21" t="n"/>
      <c r="C230" s="21" t="n"/>
      <c r="D230" s="21" t="n"/>
      <c r="E230" s="21" t="n"/>
      <c r="F230" s="22" t="n"/>
      <c r="G230" s="21" t="n"/>
      <c r="H230" s="23">
        <f>IFERROR(IF(G230="","",VLOOKUP(G230,'Setup - Vehicles'!$A$5:$D$304,4,0)),"")</f>
        <v/>
      </c>
      <c r="I230" s="23">
        <f>IFERROR(IF(E230="","",VLOOKUP(E230,'Setup - Mix Design'!$A$5:$I$304,9,0)),"")</f>
        <v/>
      </c>
      <c r="J230" s="23">
        <f>IF(OR(F230="",I230=""),"",F230*I230)</f>
        <v/>
      </c>
      <c r="K230" s="21" t="n"/>
    </row>
    <row r="231">
      <c r="A231" s="26" t="n"/>
      <c r="B231" s="21" t="n"/>
      <c r="C231" s="21" t="n"/>
      <c r="D231" s="21" t="n"/>
      <c r="E231" s="21" t="n"/>
      <c r="F231" s="22" t="n"/>
      <c r="G231" s="21" t="n"/>
      <c r="H231" s="23">
        <f>IFERROR(IF(G231="","",VLOOKUP(G231,'Setup - Vehicles'!$A$5:$D$304,4,0)),"")</f>
        <v/>
      </c>
      <c r="I231" s="23">
        <f>IFERROR(IF(E231="","",VLOOKUP(E231,'Setup - Mix Design'!$A$5:$I$304,9,0)),"")</f>
        <v/>
      </c>
      <c r="J231" s="23">
        <f>IF(OR(F231="",I231=""),"",F231*I231)</f>
        <v/>
      </c>
      <c r="K231" s="21" t="n"/>
    </row>
    <row r="232">
      <c r="A232" s="26" t="n"/>
      <c r="B232" s="21" t="n"/>
      <c r="C232" s="21" t="n"/>
      <c r="D232" s="21" t="n"/>
      <c r="E232" s="21" t="n"/>
      <c r="F232" s="22" t="n"/>
      <c r="G232" s="21" t="n"/>
      <c r="H232" s="23">
        <f>IFERROR(IF(G232="","",VLOOKUP(G232,'Setup - Vehicles'!$A$5:$D$304,4,0)),"")</f>
        <v/>
      </c>
      <c r="I232" s="23">
        <f>IFERROR(IF(E232="","",VLOOKUP(E232,'Setup - Mix Design'!$A$5:$I$304,9,0)),"")</f>
        <v/>
      </c>
      <c r="J232" s="23">
        <f>IF(OR(F232="",I232=""),"",F232*I232)</f>
        <v/>
      </c>
      <c r="K232" s="21" t="n"/>
    </row>
    <row r="233">
      <c r="A233" s="26" t="n"/>
      <c r="B233" s="21" t="n"/>
      <c r="C233" s="21" t="n"/>
      <c r="D233" s="21" t="n"/>
      <c r="E233" s="21" t="n"/>
      <c r="F233" s="22" t="n"/>
      <c r="G233" s="21" t="n"/>
      <c r="H233" s="23">
        <f>IFERROR(IF(G233="","",VLOOKUP(G233,'Setup - Vehicles'!$A$5:$D$304,4,0)),"")</f>
        <v/>
      </c>
      <c r="I233" s="23">
        <f>IFERROR(IF(E233="","",VLOOKUP(E233,'Setup - Mix Design'!$A$5:$I$304,9,0)),"")</f>
        <v/>
      </c>
      <c r="J233" s="23">
        <f>IF(OR(F233="",I233=""),"",F233*I233)</f>
        <v/>
      </c>
      <c r="K233" s="21" t="n"/>
    </row>
    <row r="234">
      <c r="A234" s="26" t="n"/>
      <c r="B234" s="21" t="n"/>
      <c r="C234" s="21" t="n"/>
      <c r="D234" s="21" t="n"/>
      <c r="E234" s="21" t="n"/>
      <c r="F234" s="22" t="n"/>
      <c r="G234" s="21" t="n"/>
      <c r="H234" s="23">
        <f>IFERROR(IF(G234="","",VLOOKUP(G234,'Setup - Vehicles'!$A$5:$D$304,4,0)),"")</f>
        <v/>
      </c>
      <c r="I234" s="23">
        <f>IFERROR(IF(E234="","",VLOOKUP(E234,'Setup - Mix Design'!$A$5:$I$304,9,0)),"")</f>
        <v/>
      </c>
      <c r="J234" s="23">
        <f>IF(OR(F234="",I234=""),"",F234*I234)</f>
        <v/>
      </c>
      <c r="K234" s="21" t="n"/>
    </row>
    <row r="235">
      <c r="A235" s="26" t="n"/>
      <c r="B235" s="21" t="n"/>
      <c r="C235" s="21" t="n"/>
      <c r="D235" s="21" t="n"/>
      <c r="E235" s="21" t="n"/>
      <c r="F235" s="22" t="n"/>
      <c r="G235" s="21" t="n"/>
      <c r="H235" s="23">
        <f>IFERROR(IF(G235="","",VLOOKUP(G235,'Setup - Vehicles'!$A$5:$D$304,4,0)),"")</f>
        <v/>
      </c>
      <c r="I235" s="23">
        <f>IFERROR(IF(E235="","",VLOOKUP(E235,'Setup - Mix Design'!$A$5:$I$304,9,0)),"")</f>
        <v/>
      </c>
      <c r="J235" s="23">
        <f>IF(OR(F235="",I235=""),"",F235*I235)</f>
        <v/>
      </c>
      <c r="K235" s="21" t="n"/>
    </row>
    <row r="236">
      <c r="A236" s="26" t="n"/>
      <c r="B236" s="21" t="n"/>
      <c r="C236" s="21" t="n"/>
      <c r="D236" s="21" t="n"/>
      <c r="E236" s="21" t="n"/>
      <c r="F236" s="22" t="n"/>
      <c r="G236" s="21" t="n"/>
      <c r="H236" s="23">
        <f>IFERROR(IF(G236="","",VLOOKUP(G236,'Setup - Vehicles'!$A$5:$D$304,4,0)),"")</f>
        <v/>
      </c>
      <c r="I236" s="23">
        <f>IFERROR(IF(E236="","",VLOOKUP(E236,'Setup - Mix Design'!$A$5:$I$304,9,0)),"")</f>
        <v/>
      </c>
      <c r="J236" s="23">
        <f>IF(OR(F236="",I236=""),"",F236*I236)</f>
        <v/>
      </c>
      <c r="K236" s="21" t="n"/>
    </row>
    <row r="237">
      <c r="A237" s="26" t="n"/>
      <c r="B237" s="21" t="n"/>
      <c r="C237" s="21" t="n"/>
      <c r="D237" s="21" t="n"/>
      <c r="E237" s="21" t="n"/>
      <c r="F237" s="22" t="n"/>
      <c r="G237" s="21" t="n"/>
      <c r="H237" s="23">
        <f>IFERROR(IF(G237="","",VLOOKUP(G237,'Setup - Vehicles'!$A$5:$D$304,4,0)),"")</f>
        <v/>
      </c>
      <c r="I237" s="23">
        <f>IFERROR(IF(E237="","",VLOOKUP(E237,'Setup - Mix Design'!$A$5:$I$304,9,0)),"")</f>
        <v/>
      </c>
      <c r="J237" s="23">
        <f>IF(OR(F237="",I237=""),"",F237*I237)</f>
        <v/>
      </c>
      <c r="K237" s="21" t="n"/>
    </row>
    <row r="238">
      <c r="A238" s="26" t="n"/>
      <c r="B238" s="21" t="n"/>
      <c r="C238" s="21" t="n"/>
      <c r="D238" s="21" t="n"/>
      <c r="E238" s="21" t="n"/>
      <c r="F238" s="22" t="n"/>
      <c r="G238" s="21" t="n"/>
      <c r="H238" s="23">
        <f>IFERROR(IF(G238="","",VLOOKUP(G238,'Setup - Vehicles'!$A$5:$D$304,4,0)),"")</f>
        <v/>
      </c>
      <c r="I238" s="23">
        <f>IFERROR(IF(E238="","",VLOOKUP(E238,'Setup - Mix Design'!$A$5:$I$304,9,0)),"")</f>
        <v/>
      </c>
      <c r="J238" s="23">
        <f>IF(OR(F238="",I238=""),"",F238*I238)</f>
        <v/>
      </c>
      <c r="K238" s="21" t="n"/>
    </row>
    <row r="239">
      <c r="A239" s="26" t="n"/>
      <c r="B239" s="21" t="n"/>
      <c r="C239" s="21" t="n"/>
      <c r="D239" s="21" t="n"/>
      <c r="E239" s="21" t="n"/>
      <c r="F239" s="22" t="n"/>
      <c r="G239" s="21" t="n"/>
      <c r="H239" s="23">
        <f>IFERROR(IF(G239="","",VLOOKUP(G239,'Setup - Vehicles'!$A$5:$D$304,4,0)),"")</f>
        <v/>
      </c>
      <c r="I239" s="23">
        <f>IFERROR(IF(E239="","",VLOOKUP(E239,'Setup - Mix Design'!$A$5:$I$304,9,0)),"")</f>
        <v/>
      </c>
      <c r="J239" s="23">
        <f>IF(OR(F239="",I239=""),"",F239*I239)</f>
        <v/>
      </c>
      <c r="K239" s="21" t="n"/>
    </row>
    <row r="240">
      <c r="A240" s="26" t="n"/>
      <c r="B240" s="21" t="n"/>
      <c r="C240" s="21" t="n"/>
      <c r="D240" s="21" t="n"/>
      <c r="E240" s="21" t="n"/>
      <c r="F240" s="22" t="n"/>
      <c r="G240" s="21" t="n"/>
      <c r="H240" s="23">
        <f>IFERROR(IF(G240="","",VLOOKUP(G240,'Setup - Vehicles'!$A$5:$D$304,4,0)),"")</f>
        <v/>
      </c>
      <c r="I240" s="23">
        <f>IFERROR(IF(E240="","",VLOOKUP(E240,'Setup - Mix Design'!$A$5:$I$304,9,0)),"")</f>
        <v/>
      </c>
      <c r="J240" s="23">
        <f>IF(OR(F240="",I240=""),"",F240*I240)</f>
        <v/>
      </c>
      <c r="K240" s="21" t="n"/>
    </row>
    <row r="241">
      <c r="A241" s="26" t="n"/>
      <c r="B241" s="21" t="n"/>
      <c r="C241" s="21" t="n"/>
      <c r="D241" s="21" t="n"/>
      <c r="E241" s="21" t="n"/>
      <c r="F241" s="22" t="n"/>
      <c r="G241" s="21" t="n"/>
      <c r="H241" s="23">
        <f>IFERROR(IF(G241="","",VLOOKUP(G241,'Setup - Vehicles'!$A$5:$D$304,4,0)),"")</f>
        <v/>
      </c>
      <c r="I241" s="23">
        <f>IFERROR(IF(E241="","",VLOOKUP(E241,'Setup - Mix Design'!$A$5:$I$304,9,0)),"")</f>
        <v/>
      </c>
      <c r="J241" s="23">
        <f>IF(OR(F241="",I241=""),"",F241*I241)</f>
        <v/>
      </c>
      <c r="K241" s="21" t="n"/>
    </row>
    <row r="242">
      <c r="A242" s="26" t="n"/>
      <c r="B242" s="21" t="n"/>
      <c r="C242" s="21" t="n"/>
      <c r="D242" s="21" t="n"/>
      <c r="E242" s="21" t="n"/>
      <c r="F242" s="22" t="n"/>
      <c r="G242" s="21" t="n"/>
      <c r="H242" s="23">
        <f>IFERROR(IF(G242="","",VLOOKUP(G242,'Setup - Vehicles'!$A$5:$D$304,4,0)),"")</f>
        <v/>
      </c>
      <c r="I242" s="23">
        <f>IFERROR(IF(E242="","",VLOOKUP(E242,'Setup - Mix Design'!$A$5:$I$304,9,0)),"")</f>
        <v/>
      </c>
      <c r="J242" s="23">
        <f>IF(OR(F242="",I242=""),"",F242*I242)</f>
        <v/>
      </c>
      <c r="K242" s="21" t="n"/>
    </row>
    <row r="243">
      <c r="A243" s="26" t="n"/>
      <c r="B243" s="21" t="n"/>
      <c r="C243" s="21" t="n"/>
      <c r="D243" s="21" t="n"/>
      <c r="E243" s="21" t="n"/>
      <c r="F243" s="22" t="n"/>
      <c r="G243" s="21" t="n"/>
      <c r="H243" s="23">
        <f>IFERROR(IF(G243="","",VLOOKUP(G243,'Setup - Vehicles'!$A$5:$D$304,4,0)),"")</f>
        <v/>
      </c>
      <c r="I243" s="23">
        <f>IFERROR(IF(E243="","",VLOOKUP(E243,'Setup - Mix Design'!$A$5:$I$304,9,0)),"")</f>
        <v/>
      </c>
      <c r="J243" s="23">
        <f>IF(OR(F243="",I243=""),"",F243*I243)</f>
        <v/>
      </c>
      <c r="K243" s="21" t="n"/>
    </row>
    <row r="244">
      <c r="A244" s="26" t="n"/>
      <c r="B244" s="21" t="n"/>
      <c r="C244" s="21" t="n"/>
      <c r="D244" s="21" t="n"/>
      <c r="E244" s="21" t="n"/>
      <c r="F244" s="22" t="n"/>
      <c r="G244" s="21" t="n"/>
      <c r="H244" s="23">
        <f>IFERROR(IF(G244="","",VLOOKUP(G244,'Setup - Vehicles'!$A$5:$D$304,4,0)),"")</f>
        <v/>
      </c>
      <c r="I244" s="23">
        <f>IFERROR(IF(E244="","",VLOOKUP(E244,'Setup - Mix Design'!$A$5:$I$304,9,0)),"")</f>
        <v/>
      </c>
      <c r="J244" s="23">
        <f>IF(OR(F244="",I244=""),"",F244*I244)</f>
        <v/>
      </c>
      <c r="K244" s="21" t="n"/>
    </row>
    <row r="245">
      <c r="A245" s="26" t="n"/>
      <c r="B245" s="21" t="n"/>
      <c r="C245" s="21" t="n"/>
      <c r="D245" s="21" t="n"/>
      <c r="E245" s="21" t="n"/>
      <c r="F245" s="22" t="n"/>
      <c r="G245" s="21" t="n"/>
      <c r="H245" s="23">
        <f>IFERROR(IF(G245="","",VLOOKUP(G245,'Setup - Vehicles'!$A$5:$D$304,4,0)),"")</f>
        <v/>
      </c>
      <c r="I245" s="23">
        <f>IFERROR(IF(E245="","",VLOOKUP(E245,'Setup - Mix Design'!$A$5:$I$304,9,0)),"")</f>
        <v/>
      </c>
      <c r="J245" s="23">
        <f>IF(OR(F245="",I245=""),"",F245*I245)</f>
        <v/>
      </c>
      <c r="K245" s="21" t="n"/>
    </row>
    <row r="246">
      <c r="A246" s="26" t="n"/>
      <c r="B246" s="21" t="n"/>
      <c r="C246" s="21" t="n"/>
      <c r="D246" s="21" t="n"/>
      <c r="E246" s="21" t="n"/>
      <c r="F246" s="22" t="n"/>
      <c r="G246" s="21" t="n"/>
      <c r="H246" s="23">
        <f>IFERROR(IF(G246="","",VLOOKUP(G246,'Setup - Vehicles'!$A$5:$D$304,4,0)),"")</f>
        <v/>
      </c>
      <c r="I246" s="23">
        <f>IFERROR(IF(E246="","",VLOOKUP(E246,'Setup - Mix Design'!$A$5:$I$304,9,0)),"")</f>
        <v/>
      </c>
      <c r="J246" s="23">
        <f>IF(OR(F246="",I246=""),"",F246*I246)</f>
        <v/>
      </c>
      <c r="K246" s="21" t="n"/>
    </row>
    <row r="247">
      <c r="A247" s="26" t="n"/>
      <c r="B247" s="21" t="n"/>
      <c r="C247" s="21" t="n"/>
      <c r="D247" s="21" t="n"/>
      <c r="E247" s="21" t="n"/>
      <c r="F247" s="22" t="n"/>
      <c r="G247" s="21" t="n"/>
      <c r="H247" s="23">
        <f>IFERROR(IF(G247="","",VLOOKUP(G247,'Setup - Vehicles'!$A$5:$D$304,4,0)),"")</f>
        <v/>
      </c>
      <c r="I247" s="23">
        <f>IFERROR(IF(E247="","",VLOOKUP(E247,'Setup - Mix Design'!$A$5:$I$304,9,0)),"")</f>
        <v/>
      </c>
      <c r="J247" s="23">
        <f>IF(OR(F247="",I247=""),"",F247*I247)</f>
        <v/>
      </c>
      <c r="K247" s="21" t="n"/>
    </row>
    <row r="248">
      <c r="A248" s="26" t="n"/>
      <c r="B248" s="21" t="n"/>
      <c r="C248" s="21" t="n"/>
      <c r="D248" s="21" t="n"/>
      <c r="E248" s="21" t="n"/>
      <c r="F248" s="22" t="n"/>
      <c r="G248" s="21" t="n"/>
      <c r="H248" s="23">
        <f>IFERROR(IF(G248="","",VLOOKUP(G248,'Setup - Vehicles'!$A$5:$D$304,4,0)),"")</f>
        <v/>
      </c>
      <c r="I248" s="23">
        <f>IFERROR(IF(E248="","",VLOOKUP(E248,'Setup - Mix Design'!$A$5:$I$304,9,0)),"")</f>
        <v/>
      </c>
      <c r="J248" s="23">
        <f>IF(OR(F248="",I248=""),"",F248*I248)</f>
        <v/>
      </c>
      <c r="K248" s="21" t="n"/>
    </row>
    <row r="249">
      <c r="A249" s="26" t="n"/>
      <c r="B249" s="21" t="n"/>
      <c r="C249" s="21" t="n"/>
      <c r="D249" s="21" t="n"/>
      <c r="E249" s="21" t="n"/>
      <c r="F249" s="22" t="n"/>
      <c r="G249" s="21" t="n"/>
      <c r="H249" s="23">
        <f>IFERROR(IF(G249="","",VLOOKUP(G249,'Setup - Vehicles'!$A$5:$D$304,4,0)),"")</f>
        <v/>
      </c>
      <c r="I249" s="23">
        <f>IFERROR(IF(E249="","",VLOOKUP(E249,'Setup - Mix Design'!$A$5:$I$304,9,0)),"")</f>
        <v/>
      </c>
      <c r="J249" s="23">
        <f>IF(OR(F249="",I249=""),"",F249*I249)</f>
        <v/>
      </c>
      <c r="K249" s="21" t="n"/>
    </row>
    <row r="250">
      <c r="A250" s="26" t="n"/>
      <c r="B250" s="21" t="n"/>
      <c r="C250" s="21" t="n"/>
      <c r="D250" s="21" t="n"/>
      <c r="E250" s="21" t="n"/>
      <c r="F250" s="22" t="n"/>
      <c r="G250" s="21" t="n"/>
      <c r="H250" s="23">
        <f>IFERROR(IF(G250="","",VLOOKUP(G250,'Setup - Vehicles'!$A$5:$D$304,4,0)),"")</f>
        <v/>
      </c>
      <c r="I250" s="23">
        <f>IFERROR(IF(E250="","",VLOOKUP(E250,'Setup - Mix Design'!$A$5:$I$304,9,0)),"")</f>
        <v/>
      </c>
      <c r="J250" s="23">
        <f>IF(OR(F250="",I250=""),"",F250*I250)</f>
        <v/>
      </c>
      <c r="K250" s="21" t="n"/>
    </row>
    <row r="251">
      <c r="A251" s="26" t="n"/>
      <c r="B251" s="21" t="n"/>
      <c r="C251" s="21" t="n"/>
      <c r="D251" s="21" t="n"/>
      <c r="E251" s="21" t="n"/>
      <c r="F251" s="22" t="n"/>
      <c r="G251" s="21" t="n"/>
      <c r="H251" s="23">
        <f>IFERROR(IF(G251="","",VLOOKUP(G251,'Setup - Vehicles'!$A$5:$D$304,4,0)),"")</f>
        <v/>
      </c>
      <c r="I251" s="23">
        <f>IFERROR(IF(E251="","",VLOOKUP(E251,'Setup - Mix Design'!$A$5:$I$304,9,0)),"")</f>
        <v/>
      </c>
      <c r="J251" s="23">
        <f>IF(OR(F251="",I251=""),"",F251*I251)</f>
        <v/>
      </c>
      <c r="K251" s="21" t="n"/>
    </row>
    <row r="252">
      <c r="A252" s="26" t="n"/>
      <c r="B252" s="21" t="n"/>
      <c r="C252" s="21" t="n"/>
      <c r="D252" s="21" t="n"/>
      <c r="E252" s="21" t="n"/>
      <c r="F252" s="22" t="n"/>
      <c r="G252" s="21" t="n"/>
      <c r="H252" s="23">
        <f>IFERROR(IF(G252="","",VLOOKUP(G252,'Setup - Vehicles'!$A$5:$D$304,4,0)),"")</f>
        <v/>
      </c>
      <c r="I252" s="23">
        <f>IFERROR(IF(E252="","",VLOOKUP(E252,'Setup - Mix Design'!$A$5:$I$304,9,0)),"")</f>
        <v/>
      </c>
      <c r="J252" s="23">
        <f>IF(OR(F252="",I252=""),"",F252*I252)</f>
        <v/>
      </c>
      <c r="K252" s="21" t="n"/>
    </row>
    <row r="253">
      <c r="A253" s="26" t="n"/>
      <c r="B253" s="21" t="n"/>
      <c r="C253" s="21" t="n"/>
      <c r="D253" s="21" t="n"/>
      <c r="E253" s="21" t="n"/>
      <c r="F253" s="22" t="n"/>
      <c r="G253" s="21" t="n"/>
      <c r="H253" s="23">
        <f>IFERROR(IF(G253="","",VLOOKUP(G253,'Setup - Vehicles'!$A$5:$D$304,4,0)),"")</f>
        <v/>
      </c>
      <c r="I253" s="23">
        <f>IFERROR(IF(E253="","",VLOOKUP(E253,'Setup - Mix Design'!$A$5:$I$304,9,0)),"")</f>
        <v/>
      </c>
      <c r="J253" s="23">
        <f>IF(OR(F253="",I253=""),"",F253*I253)</f>
        <v/>
      </c>
      <c r="K253" s="21" t="n"/>
    </row>
    <row r="254">
      <c r="A254" s="26" t="n"/>
      <c r="B254" s="21" t="n"/>
      <c r="C254" s="21" t="n"/>
      <c r="D254" s="21" t="n"/>
      <c r="E254" s="21" t="n"/>
      <c r="F254" s="22" t="n"/>
      <c r="G254" s="21" t="n"/>
      <c r="H254" s="23">
        <f>IFERROR(IF(G254="","",VLOOKUP(G254,'Setup - Vehicles'!$A$5:$D$304,4,0)),"")</f>
        <v/>
      </c>
      <c r="I254" s="23">
        <f>IFERROR(IF(E254="","",VLOOKUP(E254,'Setup - Mix Design'!$A$5:$I$304,9,0)),"")</f>
        <v/>
      </c>
      <c r="J254" s="23">
        <f>IF(OR(F254="",I254=""),"",F254*I254)</f>
        <v/>
      </c>
      <c r="K254" s="21" t="n"/>
    </row>
    <row r="255">
      <c r="A255" s="26" t="n"/>
      <c r="B255" s="21" t="n"/>
      <c r="C255" s="21" t="n"/>
      <c r="D255" s="21" t="n"/>
      <c r="E255" s="21" t="n"/>
      <c r="F255" s="22" t="n"/>
      <c r="G255" s="21" t="n"/>
      <c r="H255" s="23">
        <f>IFERROR(IF(G255="","",VLOOKUP(G255,'Setup - Vehicles'!$A$5:$D$304,4,0)),"")</f>
        <v/>
      </c>
      <c r="I255" s="23">
        <f>IFERROR(IF(E255="","",VLOOKUP(E255,'Setup - Mix Design'!$A$5:$I$304,9,0)),"")</f>
        <v/>
      </c>
      <c r="J255" s="23">
        <f>IF(OR(F255="",I255=""),"",F255*I255)</f>
        <v/>
      </c>
      <c r="K255" s="21" t="n"/>
    </row>
    <row r="256">
      <c r="A256" s="26" t="n"/>
      <c r="B256" s="21" t="n"/>
      <c r="C256" s="21" t="n"/>
      <c r="D256" s="21" t="n"/>
      <c r="E256" s="21" t="n"/>
      <c r="F256" s="22" t="n"/>
      <c r="G256" s="21" t="n"/>
      <c r="H256" s="23">
        <f>IFERROR(IF(G256="","",VLOOKUP(G256,'Setup - Vehicles'!$A$5:$D$304,4,0)),"")</f>
        <v/>
      </c>
      <c r="I256" s="23">
        <f>IFERROR(IF(E256="","",VLOOKUP(E256,'Setup - Mix Design'!$A$5:$I$304,9,0)),"")</f>
        <v/>
      </c>
      <c r="J256" s="23">
        <f>IF(OR(F256="",I256=""),"",F256*I256)</f>
        <v/>
      </c>
      <c r="K256" s="21" t="n"/>
    </row>
    <row r="257">
      <c r="A257" s="26" t="n"/>
      <c r="B257" s="21" t="n"/>
      <c r="C257" s="21" t="n"/>
      <c r="D257" s="21" t="n"/>
      <c r="E257" s="21" t="n"/>
      <c r="F257" s="22" t="n"/>
      <c r="G257" s="21" t="n"/>
      <c r="H257" s="23">
        <f>IFERROR(IF(G257="","",VLOOKUP(G257,'Setup - Vehicles'!$A$5:$D$304,4,0)),"")</f>
        <v/>
      </c>
      <c r="I257" s="23">
        <f>IFERROR(IF(E257="","",VLOOKUP(E257,'Setup - Mix Design'!$A$5:$I$304,9,0)),"")</f>
        <v/>
      </c>
      <c r="J257" s="23">
        <f>IF(OR(F257="",I257=""),"",F257*I257)</f>
        <v/>
      </c>
      <c r="K257" s="21" t="n"/>
    </row>
    <row r="258">
      <c r="A258" s="26" t="n"/>
      <c r="B258" s="21" t="n"/>
      <c r="C258" s="21" t="n"/>
      <c r="D258" s="21" t="n"/>
      <c r="E258" s="21" t="n"/>
      <c r="F258" s="22" t="n"/>
      <c r="G258" s="21" t="n"/>
      <c r="H258" s="23">
        <f>IFERROR(IF(G258="","",VLOOKUP(G258,'Setup - Vehicles'!$A$5:$D$304,4,0)),"")</f>
        <v/>
      </c>
      <c r="I258" s="23">
        <f>IFERROR(IF(E258="","",VLOOKUP(E258,'Setup - Mix Design'!$A$5:$I$304,9,0)),"")</f>
        <v/>
      </c>
      <c r="J258" s="23">
        <f>IF(OR(F258="",I258=""),"",F258*I258)</f>
        <v/>
      </c>
      <c r="K258" s="21" t="n"/>
    </row>
    <row r="259">
      <c r="A259" s="26" t="n"/>
      <c r="B259" s="21" t="n"/>
      <c r="C259" s="21" t="n"/>
      <c r="D259" s="21" t="n"/>
      <c r="E259" s="21" t="n"/>
      <c r="F259" s="22" t="n"/>
      <c r="G259" s="21" t="n"/>
      <c r="H259" s="23">
        <f>IFERROR(IF(G259="","",VLOOKUP(G259,'Setup - Vehicles'!$A$5:$D$304,4,0)),"")</f>
        <v/>
      </c>
      <c r="I259" s="23">
        <f>IFERROR(IF(E259="","",VLOOKUP(E259,'Setup - Mix Design'!$A$5:$I$304,9,0)),"")</f>
        <v/>
      </c>
      <c r="J259" s="23">
        <f>IF(OR(F259="",I259=""),"",F259*I259)</f>
        <v/>
      </c>
      <c r="K259" s="21" t="n"/>
    </row>
    <row r="260">
      <c r="A260" s="26" t="n"/>
      <c r="B260" s="21" t="n"/>
      <c r="C260" s="21" t="n"/>
      <c r="D260" s="21" t="n"/>
      <c r="E260" s="21" t="n"/>
      <c r="F260" s="22" t="n"/>
      <c r="G260" s="21" t="n"/>
      <c r="H260" s="23">
        <f>IFERROR(IF(G260="","",VLOOKUP(G260,'Setup - Vehicles'!$A$5:$D$304,4,0)),"")</f>
        <v/>
      </c>
      <c r="I260" s="23">
        <f>IFERROR(IF(E260="","",VLOOKUP(E260,'Setup - Mix Design'!$A$5:$I$304,9,0)),"")</f>
        <v/>
      </c>
      <c r="J260" s="23">
        <f>IF(OR(F260="",I260=""),"",F260*I260)</f>
        <v/>
      </c>
      <c r="K260" s="21" t="n"/>
    </row>
    <row r="261">
      <c r="A261" s="26" t="n"/>
      <c r="B261" s="21" t="n"/>
      <c r="C261" s="21" t="n"/>
      <c r="D261" s="21" t="n"/>
      <c r="E261" s="21" t="n"/>
      <c r="F261" s="22" t="n"/>
      <c r="G261" s="21" t="n"/>
      <c r="H261" s="23">
        <f>IFERROR(IF(G261="","",VLOOKUP(G261,'Setup - Vehicles'!$A$5:$D$304,4,0)),"")</f>
        <v/>
      </c>
      <c r="I261" s="23">
        <f>IFERROR(IF(E261="","",VLOOKUP(E261,'Setup - Mix Design'!$A$5:$I$304,9,0)),"")</f>
        <v/>
      </c>
      <c r="J261" s="23">
        <f>IF(OR(F261="",I261=""),"",F261*I261)</f>
        <v/>
      </c>
      <c r="K261" s="21" t="n"/>
    </row>
    <row r="262">
      <c r="A262" s="26" t="n"/>
      <c r="B262" s="21" t="n"/>
      <c r="C262" s="21" t="n"/>
      <c r="D262" s="21" t="n"/>
      <c r="E262" s="21" t="n"/>
      <c r="F262" s="22" t="n"/>
      <c r="G262" s="21" t="n"/>
      <c r="H262" s="23">
        <f>IFERROR(IF(G262="","",VLOOKUP(G262,'Setup - Vehicles'!$A$5:$D$304,4,0)),"")</f>
        <v/>
      </c>
      <c r="I262" s="23">
        <f>IFERROR(IF(E262="","",VLOOKUP(E262,'Setup - Mix Design'!$A$5:$I$304,9,0)),"")</f>
        <v/>
      </c>
      <c r="J262" s="23">
        <f>IF(OR(F262="",I262=""),"",F262*I262)</f>
        <v/>
      </c>
      <c r="K262" s="21" t="n"/>
    </row>
    <row r="263">
      <c r="A263" s="26" t="n"/>
      <c r="B263" s="21" t="n"/>
      <c r="C263" s="21" t="n"/>
      <c r="D263" s="21" t="n"/>
      <c r="E263" s="21" t="n"/>
      <c r="F263" s="22" t="n"/>
      <c r="G263" s="21" t="n"/>
      <c r="H263" s="23">
        <f>IFERROR(IF(G263="","",VLOOKUP(G263,'Setup - Vehicles'!$A$5:$D$304,4,0)),"")</f>
        <v/>
      </c>
      <c r="I263" s="23">
        <f>IFERROR(IF(E263="","",VLOOKUP(E263,'Setup - Mix Design'!$A$5:$I$304,9,0)),"")</f>
        <v/>
      </c>
      <c r="J263" s="23">
        <f>IF(OR(F263="",I263=""),"",F263*I263)</f>
        <v/>
      </c>
      <c r="K263" s="21" t="n"/>
    </row>
    <row r="264">
      <c r="A264" s="26" t="n"/>
      <c r="B264" s="21" t="n"/>
      <c r="C264" s="21" t="n"/>
      <c r="D264" s="21" t="n"/>
      <c r="E264" s="21" t="n"/>
      <c r="F264" s="22" t="n"/>
      <c r="G264" s="21" t="n"/>
      <c r="H264" s="23">
        <f>IFERROR(IF(G264="","",VLOOKUP(G264,'Setup - Vehicles'!$A$5:$D$304,4,0)),"")</f>
        <v/>
      </c>
      <c r="I264" s="23">
        <f>IFERROR(IF(E264="","",VLOOKUP(E264,'Setup - Mix Design'!$A$5:$I$304,9,0)),"")</f>
        <v/>
      </c>
      <c r="J264" s="23">
        <f>IF(OR(F264="",I264=""),"",F264*I264)</f>
        <v/>
      </c>
      <c r="K264" s="21" t="n"/>
    </row>
    <row r="265">
      <c r="A265" s="26" t="n"/>
      <c r="B265" s="21" t="n"/>
      <c r="C265" s="21" t="n"/>
      <c r="D265" s="21" t="n"/>
      <c r="E265" s="21" t="n"/>
      <c r="F265" s="22" t="n"/>
      <c r="G265" s="21" t="n"/>
      <c r="H265" s="23">
        <f>IFERROR(IF(G265="","",VLOOKUP(G265,'Setup - Vehicles'!$A$5:$D$304,4,0)),"")</f>
        <v/>
      </c>
      <c r="I265" s="23">
        <f>IFERROR(IF(E265="","",VLOOKUP(E265,'Setup - Mix Design'!$A$5:$I$304,9,0)),"")</f>
        <v/>
      </c>
      <c r="J265" s="23">
        <f>IF(OR(F265="",I265=""),"",F265*I265)</f>
        <v/>
      </c>
      <c r="K265" s="21" t="n"/>
    </row>
    <row r="266">
      <c r="A266" s="26" t="n"/>
      <c r="B266" s="21" t="n"/>
      <c r="C266" s="21" t="n"/>
      <c r="D266" s="21" t="n"/>
      <c r="E266" s="21" t="n"/>
      <c r="F266" s="22" t="n"/>
      <c r="G266" s="21" t="n"/>
      <c r="H266" s="23">
        <f>IFERROR(IF(G266="","",VLOOKUP(G266,'Setup - Vehicles'!$A$5:$D$304,4,0)),"")</f>
        <v/>
      </c>
      <c r="I266" s="23">
        <f>IFERROR(IF(E266="","",VLOOKUP(E266,'Setup - Mix Design'!$A$5:$I$304,9,0)),"")</f>
        <v/>
      </c>
      <c r="J266" s="23">
        <f>IF(OR(F266="",I266=""),"",F266*I266)</f>
        <v/>
      </c>
      <c r="K266" s="21" t="n"/>
    </row>
    <row r="267">
      <c r="A267" s="26" t="n"/>
      <c r="B267" s="21" t="n"/>
      <c r="C267" s="21" t="n"/>
      <c r="D267" s="21" t="n"/>
      <c r="E267" s="21" t="n"/>
      <c r="F267" s="22" t="n"/>
      <c r="G267" s="21" t="n"/>
      <c r="H267" s="23">
        <f>IFERROR(IF(G267="","",VLOOKUP(G267,'Setup - Vehicles'!$A$5:$D$304,4,0)),"")</f>
        <v/>
      </c>
      <c r="I267" s="23">
        <f>IFERROR(IF(E267="","",VLOOKUP(E267,'Setup - Mix Design'!$A$5:$I$304,9,0)),"")</f>
        <v/>
      </c>
      <c r="J267" s="23">
        <f>IF(OR(F267="",I267=""),"",F267*I267)</f>
        <v/>
      </c>
      <c r="K267" s="21" t="n"/>
    </row>
    <row r="268">
      <c r="A268" s="26" t="n"/>
      <c r="B268" s="21" t="n"/>
      <c r="C268" s="21" t="n"/>
      <c r="D268" s="21" t="n"/>
      <c r="E268" s="21" t="n"/>
      <c r="F268" s="22" t="n"/>
      <c r="G268" s="21" t="n"/>
      <c r="H268" s="23">
        <f>IFERROR(IF(G268="","",VLOOKUP(G268,'Setup - Vehicles'!$A$5:$D$304,4,0)),"")</f>
        <v/>
      </c>
      <c r="I268" s="23">
        <f>IFERROR(IF(E268="","",VLOOKUP(E268,'Setup - Mix Design'!$A$5:$I$304,9,0)),"")</f>
        <v/>
      </c>
      <c r="J268" s="23">
        <f>IF(OR(F268="",I268=""),"",F268*I268)</f>
        <v/>
      </c>
      <c r="K268" s="21" t="n"/>
    </row>
    <row r="269">
      <c r="A269" s="26" t="n"/>
      <c r="B269" s="21" t="n"/>
      <c r="C269" s="21" t="n"/>
      <c r="D269" s="21" t="n"/>
      <c r="E269" s="21" t="n"/>
      <c r="F269" s="22" t="n"/>
      <c r="G269" s="21" t="n"/>
      <c r="H269" s="23">
        <f>IFERROR(IF(G269="","",VLOOKUP(G269,'Setup - Vehicles'!$A$5:$D$304,4,0)),"")</f>
        <v/>
      </c>
      <c r="I269" s="23">
        <f>IFERROR(IF(E269="","",VLOOKUP(E269,'Setup - Mix Design'!$A$5:$I$304,9,0)),"")</f>
        <v/>
      </c>
      <c r="J269" s="23">
        <f>IF(OR(F269="",I269=""),"",F269*I269)</f>
        <v/>
      </c>
      <c r="K269" s="21" t="n"/>
    </row>
    <row r="270">
      <c r="A270" s="26" t="n"/>
      <c r="B270" s="21" t="n"/>
      <c r="C270" s="21" t="n"/>
      <c r="D270" s="21" t="n"/>
      <c r="E270" s="21" t="n"/>
      <c r="F270" s="22" t="n"/>
      <c r="G270" s="21" t="n"/>
      <c r="H270" s="23">
        <f>IFERROR(IF(G270="","",VLOOKUP(G270,'Setup - Vehicles'!$A$5:$D$304,4,0)),"")</f>
        <v/>
      </c>
      <c r="I270" s="23">
        <f>IFERROR(IF(E270="","",VLOOKUP(E270,'Setup - Mix Design'!$A$5:$I$304,9,0)),"")</f>
        <v/>
      </c>
      <c r="J270" s="23">
        <f>IF(OR(F270="",I270=""),"",F270*I270)</f>
        <v/>
      </c>
      <c r="K270" s="21" t="n"/>
    </row>
    <row r="271">
      <c r="A271" s="26" t="n"/>
      <c r="B271" s="21" t="n"/>
      <c r="C271" s="21" t="n"/>
      <c r="D271" s="21" t="n"/>
      <c r="E271" s="21" t="n"/>
      <c r="F271" s="22" t="n"/>
      <c r="G271" s="21" t="n"/>
      <c r="H271" s="23">
        <f>IFERROR(IF(G271="","",VLOOKUP(G271,'Setup - Vehicles'!$A$5:$D$304,4,0)),"")</f>
        <v/>
      </c>
      <c r="I271" s="23">
        <f>IFERROR(IF(E271="","",VLOOKUP(E271,'Setup - Mix Design'!$A$5:$I$304,9,0)),"")</f>
        <v/>
      </c>
      <c r="J271" s="23">
        <f>IF(OR(F271="",I271=""),"",F271*I271)</f>
        <v/>
      </c>
      <c r="K271" s="21" t="n"/>
    </row>
    <row r="272">
      <c r="A272" s="26" t="n"/>
      <c r="B272" s="21" t="n"/>
      <c r="C272" s="21" t="n"/>
      <c r="D272" s="21" t="n"/>
      <c r="E272" s="21" t="n"/>
      <c r="F272" s="22" t="n"/>
      <c r="G272" s="21" t="n"/>
      <c r="H272" s="23">
        <f>IFERROR(IF(G272="","",VLOOKUP(G272,'Setup - Vehicles'!$A$5:$D$304,4,0)),"")</f>
        <v/>
      </c>
      <c r="I272" s="23">
        <f>IFERROR(IF(E272="","",VLOOKUP(E272,'Setup - Mix Design'!$A$5:$I$304,9,0)),"")</f>
        <v/>
      </c>
      <c r="J272" s="23">
        <f>IF(OR(F272="",I272=""),"",F272*I272)</f>
        <v/>
      </c>
      <c r="K272" s="21" t="n"/>
    </row>
    <row r="273">
      <c r="A273" s="26" t="n"/>
      <c r="B273" s="21" t="n"/>
      <c r="C273" s="21" t="n"/>
      <c r="D273" s="21" t="n"/>
      <c r="E273" s="21" t="n"/>
      <c r="F273" s="22" t="n"/>
      <c r="G273" s="21" t="n"/>
      <c r="H273" s="23">
        <f>IFERROR(IF(G273="","",VLOOKUP(G273,'Setup - Vehicles'!$A$5:$D$304,4,0)),"")</f>
        <v/>
      </c>
      <c r="I273" s="23">
        <f>IFERROR(IF(E273="","",VLOOKUP(E273,'Setup - Mix Design'!$A$5:$I$304,9,0)),"")</f>
        <v/>
      </c>
      <c r="J273" s="23">
        <f>IF(OR(F273="",I273=""),"",F273*I273)</f>
        <v/>
      </c>
      <c r="K273" s="21" t="n"/>
    </row>
    <row r="274">
      <c r="A274" s="26" t="n"/>
      <c r="B274" s="21" t="n"/>
      <c r="C274" s="21" t="n"/>
      <c r="D274" s="21" t="n"/>
      <c r="E274" s="21" t="n"/>
      <c r="F274" s="22" t="n"/>
      <c r="G274" s="21" t="n"/>
      <c r="H274" s="23">
        <f>IFERROR(IF(G274="","",VLOOKUP(G274,'Setup - Vehicles'!$A$5:$D$304,4,0)),"")</f>
        <v/>
      </c>
      <c r="I274" s="23">
        <f>IFERROR(IF(E274="","",VLOOKUP(E274,'Setup - Mix Design'!$A$5:$I$304,9,0)),"")</f>
        <v/>
      </c>
      <c r="J274" s="23">
        <f>IF(OR(F274="",I274=""),"",F274*I274)</f>
        <v/>
      </c>
      <c r="K274" s="21" t="n"/>
    </row>
    <row r="275">
      <c r="A275" s="26" t="n"/>
      <c r="B275" s="21" t="n"/>
      <c r="C275" s="21" t="n"/>
      <c r="D275" s="21" t="n"/>
      <c r="E275" s="21" t="n"/>
      <c r="F275" s="22" t="n"/>
      <c r="G275" s="21" t="n"/>
      <c r="H275" s="23">
        <f>IFERROR(IF(G275="","",VLOOKUP(G275,'Setup - Vehicles'!$A$5:$D$304,4,0)),"")</f>
        <v/>
      </c>
      <c r="I275" s="23">
        <f>IFERROR(IF(E275="","",VLOOKUP(E275,'Setup - Mix Design'!$A$5:$I$304,9,0)),"")</f>
        <v/>
      </c>
      <c r="J275" s="23">
        <f>IF(OR(F275="",I275=""),"",F275*I275)</f>
        <v/>
      </c>
      <c r="K275" s="21" t="n"/>
    </row>
    <row r="276">
      <c r="A276" s="26" t="n"/>
      <c r="B276" s="21" t="n"/>
      <c r="C276" s="21" t="n"/>
      <c r="D276" s="21" t="n"/>
      <c r="E276" s="21" t="n"/>
      <c r="F276" s="22" t="n"/>
      <c r="G276" s="21" t="n"/>
      <c r="H276" s="23">
        <f>IFERROR(IF(G276="","",VLOOKUP(G276,'Setup - Vehicles'!$A$5:$D$304,4,0)),"")</f>
        <v/>
      </c>
      <c r="I276" s="23">
        <f>IFERROR(IF(E276="","",VLOOKUP(E276,'Setup - Mix Design'!$A$5:$I$304,9,0)),"")</f>
        <v/>
      </c>
      <c r="J276" s="23">
        <f>IF(OR(F276="",I276=""),"",F276*I276)</f>
        <v/>
      </c>
      <c r="K276" s="21" t="n"/>
    </row>
    <row r="277">
      <c r="A277" s="26" t="n"/>
      <c r="B277" s="21" t="n"/>
      <c r="C277" s="21" t="n"/>
      <c r="D277" s="21" t="n"/>
      <c r="E277" s="21" t="n"/>
      <c r="F277" s="22" t="n"/>
      <c r="G277" s="21" t="n"/>
      <c r="H277" s="23">
        <f>IFERROR(IF(G277="","",VLOOKUP(G277,'Setup - Vehicles'!$A$5:$D$304,4,0)),"")</f>
        <v/>
      </c>
      <c r="I277" s="23">
        <f>IFERROR(IF(E277="","",VLOOKUP(E277,'Setup - Mix Design'!$A$5:$I$304,9,0)),"")</f>
        <v/>
      </c>
      <c r="J277" s="23">
        <f>IF(OR(F277="",I277=""),"",F277*I277)</f>
        <v/>
      </c>
      <c r="K277" s="21" t="n"/>
    </row>
    <row r="278">
      <c r="A278" s="26" t="n"/>
      <c r="B278" s="21" t="n"/>
      <c r="C278" s="21" t="n"/>
      <c r="D278" s="21" t="n"/>
      <c r="E278" s="21" t="n"/>
      <c r="F278" s="22" t="n"/>
      <c r="G278" s="21" t="n"/>
      <c r="H278" s="23">
        <f>IFERROR(IF(G278="","",VLOOKUP(G278,'Setup - Vehicles'!$A$5:$D$304,4,0)),"")</f>
        <v/>
      </c>
      <c r="I278" s="23">
        <f>IFERROR(IF(E278="","",VLOOKUP(E278,'Setup - Mix Design'!$A$5:$I$304,9,0)),"")</f>
        <v/>
      </c>
      <c r="J278" s="23">
        <f>IF(OR(F278="",I278=""),"",F278*I278)</f>
        <v/>
      </c>
      <c r="K278" s="21" t="n"/>
    </row>
    <row r="279">
      <c r="A279" s="26" t="n"/>
      <c r="B279" s="21" t="n"/>
      <c r="C279" s="21" t="n"/>
      <c r="D279" s="21" t="n"/>
      <c r="E279" s="21" t="n"/>
      <c r="F279" s="22" t="n"/>
      <c r="G279" s="21" t="n"/>
      <c r="H279" s="23">
        <f>IFERROR(IF(G279="","",VLOOKUP(G279,'Setup - Vehicles'!$A$5:$D$304,4,0)),"")</f>
        <v/>
      </c>
      <c r="I279" s="23">
        <f>IFERROR(IF(E279="","",VLOOKUP(E279,'Setup - Mix Design'!$A$5:$I$304,9,0)),"")</f>
        <v/>
      </c>
      <c r="J279" s="23">
        <f>IF(OR(F279="",I279=""),"",F279*I279)</f>
        <v/>
      </c>
      <c r="K279" s="21" t="n"/>
    </row>
    <row r="280">
      <c r="A280" s="26" t="n"/>
      <c r="B280" s="21" t="n"/>
      <c r="C280" s="21" t="n"/>
      <c r="D280" s="21" t="n"/>
      <c r="E280" s="21" t="n"/>
      <c r="F280" s="22" t="n"/>
      <c r="G280" s="21" t="n"/>
      <c r="H280" s="23">
        <f>IFERROR(IF(G280="","",VLOOKUP(G280,'Setup - Vehicles'!$A$5:$D$304,4,0)),"")</f>
        <v/>
      </c>
      <c r="I280" s="23">
        <f>IFERROR(IF(E280="","",VLOOKUP(E280,'Setup - Mix Design'!$A$5:$I$304,9,0)),"")</f>
        <v/>
      </c>
      <c r="J280" s="23">
        <f>IF(OR(F280="",I280=""),"",F280*I280)</f>
        <v/>
      </c>
      <c r="K280" s="21" t="n"/>
    </row>
    <row r="281">
      <c r="A281" s="26" t="n"/>
      <c r="B281" s="21" t="n"/>
      <c r="C281" s="21" t="n"/>
      <c r="D281" s="21" t="n"/>
      <c r="E281" s="21" t="n"/>
      <c r="F281" s="22" t="n"/>
      <c r="G281" s="21" t="n"/>
      <c r="H281" s="23">
        <f>IFERROR(IF(G281="","",VLOOKUP(G281,'Setup - Vehicles'!$A$5:$D$304,4,0)),"")</f>
        <v/>
      </c>
      <c r="I281" s="23">
        <f>IFERROR(IF(E281="","",VLOOKUP(E281,'Setup - Mix Design'!$A$5:$I$304,9,0)),"")</f>
        <v/>
      </c>
      <c r="J281" s="23">
        <f>IF(OR(F281="",I281=""),"",F281*I281)</f>
        <v/>
      </c>
      <c r="K281" s="21" t="n"/>
    </row>
    <row r="282">
      <c r="A282" s="26" t="n"/>
      <c r="B282" s="21" t="n"/>
      <c r="C282" s="21" t="n"/>
      <c r="D282" s="21" t="n"/>
      <c r="E282" s="21" t="n"/>
      <c r="F282" s="22" t="n"/>
      <c r="G282" s="21" t="n"/>
      <c r="H282" s="23">
        <f>IFERROR(IF(G282="","",VLOOKUP(G282,'Setup - Vehicles'!$A$5:$D$304,4,0)),"")</f>
        <v/>
      </c>
      <c r="I282" s="23">
        <f>IFERROR(IF(E282="","",VLOOKUP(E282,'Setup - Mix Design'!$A$5:$I$304,9,0)),"")</f>
        <v/>
      </c>
      <c r="J282" s="23">
        <f>IF(OR(F282="",I282=""),"",F282*I282)</f>
        <v/>
      </c>
      <c r="K282" s="21" t="n"/>
    </row>
    <row r="283">
      <c r="A283" s="26" t="n"/>
      <c r="B283" s="21" t="n"/>
      <c r="C283" s="21" t="n"/>
      <c r="D283" s="21" t="n"/>
      <c r="E283" s="21" t="n"/>
      <c r="F283" s="22" t="n"/>
      <c r="G283" s="21" t="n"/>
      <c r="H283" s="23">
        <f>IFERROR(IF(G283="","",VLOOKUP(G283,'Setup - Vehicles'!$A$5:$D$304,4,0)),"")</f>
        <v/>
      </c>
      <c r="I283" s="23">
        <f>IFERROR(IF(E283="","",VLOOKUP(E283,'Setup - Mix Design'!$A$5:$I$304,9,0)),"")</f>
        <v/>
      </c>
      <c r="J283" s="23">
        <f>IF(OR(F283="",I283=""),"",F283*I283)</f>
        <v/>
      </c>
      <c r="K283" s="21" t="n"/>
    </row>
    <row r="284">
      <c r="A284" s="26" t="n"/>
      <c r="B284" s="21" t="n"/>
      <c r="C284" s="21" t="n"/>
      <c r="D284" s="21" t="n"/>
      <c r="E284" s="21" t="n"/>
      <c r="F284" s="22" t="n"/>
      <c r="G284" s="21" t="n"/>
      <c r="H284" s="23">
        <f>IFERROR(IF(G284="","",VLOOKUP(G284,'Setup - Vehicles'!$A$5:$D$304,4,0)),"")</f>
        <v/>
      </c>
      <c r="I284" s="23">
        <f>IFERROR(IF(E284="","",VLOOKUP(E284,'Setup - Mix Design'!$A$5:$I$304,9,0)),"")</f>
        <v/>
      </c>
      <c r="J284" s="23">
        <f>IF(OR(F284="",I284=""),"",F284*I284)</f>
        <v/>
      </c>
      <c r="K284" s="21" t="n"/>
    </row>
    <row r="285">
      <c r="A285" s="26" t="n"/>
      <c r="B285" s="21" t="n"/>
      <c r="C285" s="21" t="n"/>
      <c r="D285" s="21" t="n"/>
      <c r="E285" s="21" t="n"/>
      <c r="F285" s="22" t="n"/>
      <c r="G285" s="21" t="n"/>
      <c r="H285" s="23">
        <f>IFERROR(IF(G285="","",VLOOKUP(G285,'Setup - Vehicles'!$A$5:$D$304,4,0)),"")</f>
        <v/>
      </c>
      <c r="I285" s="23">
        <f>IFERROR(IF(E285="","",VLOOKUP(E285,'Setup - Mix Design'!$A$5:$I$304,9,0)),"")</f>
        <v/>
      </c>
      <c r="J285" s="23">
        <f>IF(OR(F285="",I285=""),"",F285*I285)</f>
        <v/>
      </c>
      <c r="K285" s="21" t="n"/>
    </row>
    <row r="286">
      <c r="A286" s="26" t="n"/>
      <c r="B286" s="21" t="n"/>
      <c r="C286" s="21" t="n"/>
      <c r="D286" s="21" t="n"/>
      <c r="E286" s="21" t="n"/>
      <c r="F286" s="22" t="n"/>
      <c r="G286" s="21" t="n"/>
      <c r="H286" s="23">
        <f>IFERROR(IF(G286="","",VLOOKUP(G286,'Setup - Vehicles'!$A$5:$D$304,4,0)),"")</f>
        <v/>
      </c>
      <c r="I286" s="23">
        <f>IFERROR(IF(E286="","",VLOOKUP(E286,'Setup - Mix Design'!$A$5:$I$304,9,0)),"")</f>
        <v/>
      </c>
      <c r="J286" s="23">
        <f>IF(OR(F286="",I286=""),"",F286*I286)</f>
        <v/>
      </c>
      <c r="K286" s="21" t="n"/>
    </row>
    <row r="287">
      <c r="A287" s="26" t="n"/>
      <c r="B287" s="21" t="n"/>
      <c r="C287" s="21" t="n"/>
      <c r="D287" s="21" t="n"/>
      <c r="E287" s="21" t="n"/>
      <c r="F287" s="22" t="n"/>
      <c r="G287" s="21" t="n"/>
      <c r="H287" s="23">
        <f>IFERROR(IF(G287="","",VLOOKUP(G287,'Setup - Vehicles'!$A$5:$D$304,4,0)),"")</f>
        <v/>
      </c>
      <c r="I287" s="23">
        <f>IFERROR(IF(E287="","",VLOOKUP(E287,'Setup - Mix Design'!$A$5:$I$304,9,0)),"")</f>
        <v/>
      </c>
      <c r="J287" s="23">
        <f>IF(OR(F287="",I287=""),"",F287*I287)</f>
        <v/>
      </c>
      <c r="K287" s="21" t="n"/>
    </row>
    <row r="288">
      <c r="A288" s="26" t="n"/>
      <c r="B288" s="21" t="n"/>
      <c r="C288" s="21" t="n"/>
      <c r="D288" s="21" t="n"/>
      <c r="E288" s="21" t="n"/>
      <c r="F288" s="22" t="n"/>
      <c r="G288" s="21" t="n"/>
      <c r="H288" s="23">
        <f>IFERROR(IF(G288="","",VLOOKUP(G288,'Setup - Vehicles'!$A$5:$D$304,4,0)),"")</f>
        <v/>
      </c>
      <c r="I288" s="23">
        <f>IFERROR(IF(E288="","",VLOOKUP(E288,'Setup - Mix Design'!$A$5:$I$304,9,0)),"")</f>
        <v/>
      </c>
      <c r="J288" s="23">
        <f>IF(OR(F288="",I288=""),"",F288*I288)</f>
        <v/>
      </c>
      <c r="K288" s="21" t="n"/>
    </row>
    <row r="289">
      <c r="A289" s="26" t="n"/>
      <c r="B289" s="21" t="n"/>
      <c r="C289" s="21" t="n"/>
      <c r="D289" s="21" t="n"/>
      <c r="E289" s="21" t="n"/>
      <c r="F289" s="22" t="n"/>
      <c r="G289" s="21" t="n"/>
      <c r="H289" s="23">
        <f>IFERROR(IF(G289="","",VLOOKUP(G289,'Setup - Vehicles'!$A$5:$D$304,4,0)),"")</f>
        <v/>
      </c>
      <c r="I289" s="23">
        <f>IFERROR(IF(E289="","",VLOOKUP(E289,'Setup - Mix Design'!$A$5:$I$304,9,0)),"")</f>
        <v/>
      </c>
      <c r="J289" s="23">
        <f>IF(OR(F289="",I289=""),"",F289*I289)</f>
        <v/>
      </c>
      <c r="K289" s="21" t="n"/>
    </row>
    <row r="290">
      <c r="A290" s="26" t="n"/>
      <c r="B290" s="21" t="n"/>
      <c r="C290" s="21" t="n"/>
      <c r="D290" s="21" t="n"/>
      <c r="E290" s="21" t="n"/>
      <c r="F290" s="22" t="n"/>
      <c r="G290" s="21" t="n"/>
      <c r="H290" s="23">
        <f>IFERROR(IF(G290="","",VLOOKUP(G290,'Setup - Vehicles'!$A$5:$D$304,4,0)),"")</f>
        <v/>
      </c>
      <c r="I290" s="23">
        <f>IFERROR(IF(E290="","",VLOOKUP(E290,'Setup - Mix Design'!$A$5:$I$304,9,0)),"")</f>
        <v/>
      </c>
      <c r="J290" s="23">
        <f>IF(OR(F290="",I290=""),"",F290*I290)</f>
        <v/>
      </c>
      <c r="K290" s="21" t="n"/>
    </row>
    <row r="291">
      <c r="A291" s="26" t="n"/>
      <c r="B291" s="21" t="n"/>
      <c r="C291" s="21" t="n"/>
      <c r="D291" s="21" t="n"/>
      <c r="E291" s="21" t="n"/>
      <c r="F291" s="22" t="n"/>
      <c r="G291" s="21" t="n"/>
      <c r="H291" s="23">
        <f>IFERROR(IF(G291="","",VLOOKUP(G291,'Setup - Vehicles'!$A$5:$D$304,4,0)),"")</f>
        <v/>
      </c>
      <c r="I291" s="23">
        <f>IFERROR(IF(E291="","",VLOOKUP(E291,'Setup - Mix Design'!$A$5:$I$304,9,0)),"")</f>
        <v/>
      </c>
      <c r="J291" s="23">
        <f>IF(OR(F291="",I291=""),"",F291*I291)</f>
        <v/>
      </c>
      <c r="K291" s="21" t="n"/>
    </row>
    <row r="292">
      <c r="A292" s="26" t="n"/>
      <c r="B292" s="21" t="n"/>
      <c r="C292" s="21" t="n"/>
      <c r="D292" s="21" t="n"/>
      <c r="E292" s="21" t="n"/>
      <c r="F292" s="22" t="n"/>
      <c r="G292" s="21" t="n"/>
      <c r="H292" s="23">
        <f>IFERROR(IF(G292="","",VLOOKUP(G292,'Setup - Vehicles'!$A$5:$D$304,4,0)),"")</f>
        <v/>
      </c>
      <c r="I292" s="23">
        <f>IFERROR(IF(E292="","",VLOOKUP(E292,'Setup - Mix Design'!$A$5:$I$304,9,0)),"")</f>
        <v/>
      </c>
      <c r="J292" s="23">
        <f>IF(OR(F292="",I292=""),"",F292*I292)</f>
        <v/>
      </c>
      <c r="K292" s="21" t="n"/>
    </row>
    <row r="293">
      <c r="A293" s="26" t="n"/>
      <c r="B293" s="21" t="n"/>
      <c r="C293" s="21" t="n"/>
      <c r="D293" s="21" t="n"/>
      <c r="E293" s="21" t="n"/>
      <c r="F293" s="22" t="n"/>
      <c r="G293" s="21" t="n"/>
      <c r="H293" s="23">
        <f>IFERROR(IF(G293="","",VLOOKUP(G293,'Setup - Vehicles'!$A$5:$D$304,4,0)),"")</f>
        <v/>
      </c>
      <c r="I293" s="23">
        <f>IFERROR(IF(E293="","",VLOOKUP(E293,'Setup - Mix Design'!$A$5:$I$304,9,0)),"")</f>
        <v/>
      </c>
      <c r="J293" s="23">
        <f>IF(OR(F293="",I293=""),"",F293*I293)</f>
        <v/>
      </c>
      <c r="K293" s="21" t="n"/>
    </row>
    <row r="294">
      <c r="A294" s="26" t="n"/>
      <c r="B294" s="21" t="n"/>
      <c r="C294" s="21" t="n"/>
      <c r="D294" s="21" t="n"/>
      <c r="E294" s="21" t="n"/>
      <c r="F294" s="22" t="n"/>
      <c r="G294" s="21" t="n"/>
      <c r="H294" s="23">
        <f>IFERROR(IF(G294="","",VLOOKUP(G294,'Setup - Vehicles'!$A$5:$D$304,4,0)),"")</f>
        <v/>
      </c>
      <c r="I294" s="23">
        <f>IFERROR(IF(E294="","",VLOOKUP(E294,'Setup - Mix Design'!$A$5:$I$304,9,0)),"")</f>
        <v/>
      </c>
      <c r="J294" s="23">
        <f>IF(OR(F294="",I294=""),"",F294*I294)</f>
        <v/>
      </c>
      <c r="K294" s="21" t="n"/>
    </row>
    <row r="295">
      <c r="A295" s="26" t="n"/>
      <c r="B295" s="21" t="n"/>
      <c r="C295" s="21" t="n"/>
      <c r="D295" s="21" t="n"/>
      <c r="E295" s="21" t="n"/>
      <c r="F295" s="22" t="n"/>
      <c r="G295" s="21" t="n"/>
      <c r="H295" s="23">
        <f>IFERROR(IF(G295="","",VLOOKUP(G295,'Setup - Vehicles'!$A$5:$D$304,4,0)),"")</f>
        <v/>
      </c>
      <c r="I295" s="23">
        <f>IFERROR(IF(E295="","",VLOOKUP(E295,'Setup - Mix Design'!$A$5:$I$304,9,0)),"")</f>
        <v/>
      </c>
      <c r="J295" s="23">
        <f>IF(OR(F295="",I295=""),"",F295*I295)</f>
        <v/>
      </c>
      <c r="K295" s="21" t="n"/>
    </row>
    <row r="296">
      <c r="A296" s="26" t="n"/>
      <c r="B296" s="21" t="n"/>
      <c r="C296" s="21" t="n"/>
      <c r="D296" s="21" t="n"/>
      <c r="E296" s="21" t="n"/>
      <c r="F296" s="22" t="n"/>
      <c r="G296" s="21" t="n"/>
      <c r="H296" s="23">
        <f>IFERROR(IF(G296="","",VLOOKUP(G296,'Setup - Vehicles'!$A$5:$D$304,4,0)),"")</f>
        <v/>
      </c>
      <c r="I296" s="23">
        <f>IFERROR(IF(E296="","",VLOOKUP(E296,'Setup - Mix Design'!$A$5:$I$304,9,0)),"")</f>
        <v/>
      </c>
      <c r="J296" s="23">
        <f>IF(OR(F296="",I296=""),"",F296*I296)</f>
        <v/>
      </c>
      <c r="K296" s="21" t="n"/>
    </row>
    <row r="297">
      <c r="A297" s="26" t="n"/>
      <c r="B297" s="21" t="n"/>
      <c r="C297" s="21" t="n"/>
      <c r="D297" s="21" t="n"/>
      <c r="E297" s="21" t="n"/>
      <c r="F297" s="22" t="n"/>
      <c r="G297" s="21" t="n"/>
      <c r="H297" s="23">
        <f>IFERROR(IF(G297="","",VLOOKUP(G297,'Setup - Vehicles'!$A$5:$D$304,4,0)),"")</f>
        <v/>
      </c>
      <c r="I297" s="23">
        <f>IFERROR(IF(E297="","",VLOOKUP(E297,'Setup - Mix Design'!$A$5:$I$304,9,0)),"")</f>
        <v/>
      </c>
      <c r="J297" s="23">
        <f>IF(OR(F297="",I297=""),"",F297*I297)</f>
        <v/>
      </c>
      <c r="K297" s="21" t="n"/>
    </row>
    <row r="298">
      <c r="A298" s="26" t="n"/>
      <c r="B298" s="21" t="n"/>
      <c r="C298" s="21" t="n"/>
      <c r="D298" s="21" t="n"/>
      <c r="E298" s="21" t="n"/>
      <c r="F298" s="22" t="n"/>
      <c r="G298" s="21" t="n"/>
      <c r="H298" s="23">
        <f>IFERROR(IF(G298="","",VLOOKUP(G298,'Setup - Vehicles'!$A$5:$D$304,4,0)),"")</f>
        <v/>
      </c>
      <c r="I298" s="23">
        <f>IFERROR(IF(E298="","",VLOOKUP(E298,'Setup - Mix Design'!$A$5:$I$304,9,0)),"")</f>
        <v/>
      </c>
      <c r="J298" s="23">
        <f>IF(OR(F298="",I298=""),"",F298*I298)</f>
        <v/>
      </c>
      <c r="K298" s="21" t="n"/>
    </row>
    <row r="299">
      <c r="A299" s="26" t="n"/>
      <c r="B299" s="21" t="n"/>
      <c r="C299" s="21" t="n"/>
      <c r="D299" s="21" t="n"/>
      <c r="E299" s="21" t="n"/>
      <c r="F299" s="22" t="n"/>
      <c r="G299" s="21" t="n"/>
      <c r="H299" s="23">
        <f>IFERROR(IF(G299="","",VLOOKUP(G299,'Setup - Vehicles'!$A$5:$D$304,4,0)),"")</f>
        <v/>
      </c>
      <c r="I299" s="23">
        <f>IFERROR(IF(E299="","",VLOOKUP(E299,'Setup - Mix Design'!$A$5:$I$304,9,0)),"")</f>
        <v/>
      </c>
      <c r="J299" s="23">
        <f>IF(OR(F299="",I299=""),"",F299*I299)</f>
        <v/>
      </c>
      <c r="K299" s="21" t="n"/>
    </row>
    <row r="300">
      <c r="A300" s="26" t="n"/>
      <c r="B300" s="21" t="n"/>
      <c r="C300" s="21" t="n"/>
      <c r="D300" s="21" t="n"/>
      <c r="E300" s="21" t="n"/>
      <c r="F300" s="22" t="n"/>
      <c r="G300" s="21" t="n"/>
      <c r="H300" s="23">
        <f>IFERROR(IF(G300="","",VLOOKUP(G300,'Setup - Vehicles'!$A$5:$D$304,4,0)),"")</f>
        <v/>
      </c>
      <c r="I300" s="23">
        <f>IFERROR(IF(E300="","",VLOOKUP(E300,'Setup - Mix Design'!$A$5:$I$304,9,0)),"")</f>
        <v/>
      </c>
      <c r="J300" s="23">
        <f>IF(OR(F300="",I300=""),"",F300*I300)</f>
        <v/>
      </c>
      <c r="K300" s="21" t="n"/>
    </row>
    <row r="301">
      <c r="A301" s="26" t="n"/>
      <c r="B301" s="21" t="n"/>
      <c r="C301" s="21" t="n"/>
      <c r="D301" s="21" t="n"/>
      <c r="E301" s="21" t="n"/>
      <c r="F301" s="22" t="n"/>
      <c r="G301" s="21" t="n"/>
      <c r="H301" s="23">
        <f>IFERROR(IF(G301="","",VLOOKUP(G301,'Setup - Vehicles'!$A$5:$D$304,4,0)),"")</f>
        <v/>
      </c>
      <c r="I301" s="23">
        <f>IFERROR(IF(E301="","",VLOOKUP(E301,'Setup - Mix Design'!$A$5:$I$304,9,0)),"")</f>
        <v/>
      </c>
      <c r="J301" s="23">
        <f>IF(OR(F301="",I301=""),"",F301*I301)</f>
        <v/>
      </c>
      <c r="K301" s="21" t="n"/>
    </row>
    <row r="302">
      <c r="A302" s="26" t="n"/>
      <c r="B302" s="21" t="n"/>
      <c r="C302" s="21" t="n"/>
      <c r="D302" s="21" t="n"/>
      <c r="E302" s="21" t="n"/>
      <c r="F302" s="22" t="n"/>
      <c r="G302" s="21" t="n"/>
      <c r="H302" s="23">
        <f>IFERROR(IF(G302="","",VLOOKUP(G302,'Setup - Vehicles'!$A$5:$D$304,4,0)),"")</f>
        <v/>
      </c>
      <c r="I302" s="23">
        <f>IFERROR(IF(E302="","",VLOOKUP(E302,'Setup - Mix Design'!$A$5:$I$304,9,0)),"")</f>
        <v/>
      </c>
      <c r="J302" s="23">
        <f>IF(OR(F302="",I302=""),"",F302*I302)</f>
        <v/>
      </c>
      <c r="K302" s="21" t="n"/>
    </row>
    <row r="303">
      <c r="A303" s="26" t="n"/>
      <c r="B303" s="21" t="n"/>
      <c r="C303" s="21" t="n"/>
      <c r="D303" s="21" t="n"/>
      <c r="E303" s="21" t="n"/>
      <c r="F303" s="22" t="n"/>
      <c r="G303" s="21" t="n"/>
      <c r="H303" s="23">
        <f>IFERROR(IF(G303="","",VLOOKUP(G303,'Setup - Vehicles'!$A$5:$D$304,4,0)),"")</f>
        <v/>
      </c>
      <c r="I303" s="23">
        <f>IFERROR(IF(E303="","",VLOOKUP(E303,'Setup - Mix Design'!$A$5:$I$304,9,0)),"")</f>
        <v/>
      </c>
      <c r="J303" s="23">
        <f>IF(OR(F303="",I303=""),"",F303*I303)</f>
        <v/>
      </c>
      <c r="K303" s="21" t="n"/>
    </row>
    <row r="304">
      <c r="A304" s="26" t="n"/>
      <c r="B304" s="21" t="n"/>
      <c r="C304" s="21" t="n"/>
      <c r="D304" s="21" t="n"/>
      <c r="E304" s="21" t="n"/>
      <c r="F304" s="22" t="n"/>
      <c r="G304" s="21" t="n"/>
      <c r="H304" s="23">
        <f>IFERROR(IF(G304="","",VLOOKUP(G304,'Setup - Vehicles'!$A$5:$D$304,4,0)),"")</f>
        <v/>
      </c>
      <c r="I304" s="23">
        <f>IFERROR(IF(E304="","",VLOOKUP(E304,'Setup - Mix Design'!$A$5:$I$304,9,0)),"")</f>
        <v/>
      </c>
      <c r="J304" s="23">
        <f>IF(OR(F304="",I304=""),"",F304*I304)</f>
        <v/>
      </c>
      <c r="K304" s="21" t="n"/>
    </row>
  </sheetData>
  <mergeCells count="2">
    <mergeCell ref="A2:K2"/>
    <mergeCell ref="A1:K1"/>
  </mergeCells>
  <dataValidations count="4">
    <dataValidation sqref="D5:D304" showDropDown="0" showInputMessage="0" showErrorMessage="0" allowBlank="1" error="Pick a value from the list." promptTitle="Select" prompt="Choose from the dropdown." type="list">
      <formula1>=ClientList</formula1>
    </dataValidation>
    <dataValidation sqref="E5:E304" showDropDown="0" showInputMessage="0" showErrorMessage="0" allowBlank="1" error="Pick a value from the list." promptTitle="Select" prompt="Choose from the dropdown." type="list">
      <formula1>=GradeList</formula1>
    </dataValidation>
    <dataValidation sqref="G5:G304" showDropDown="0" showInputMessage="0" showErrorMessage="0" allowBlank="1" error="Pick a value from the list." promptTitle="Select" prompt="Choose from the dropdown." type="list">
      <formula1>=VehicleList</formula1>
    </dataValidation>
    <dataValidation sqref="K5:K304" showDropDown="0" showInputMessage="0" showErrorMessage="0" allowBlank="1" error="Pick a value from the list." promptTitle="Select" prompt="Choose from the dropdown." type="list">
      <formula1>=DispStatusList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2203A"/>
    <outlinePr summaryBelow="1" summaryRight="1"/>
    <pageSetUpPr/>
  </sheetPr>
  <dimension ref="A1:K3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11" customWidth="1" min="4" max="4"/>
    <col width="18" customWidth="1" min="5" max="5"/>
    <col width="13" customWidth="1" min="6" max="6"/>
    <col width="12" customWidth="1" min="7" max="7"/>
    <col width="13" customWidth="1" min="8" max="8"/>
    <col width="13" customWidth="1" min="9" max="9"/>
    <col width="12" customWidth="1" min="10" max="10"/>
    <col width="13" customWidth="1" min="11" max="11"/>
  </cols>
  <sheetData>
    <row r="1" ht="34" customHeight="1">
      <c r="A1" s="1" t="inlineStr">
        <is>
          <t>Batch Production  -  Material Consumption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8" customHeight="1">
      <c r="A2" s="3" t="inlineStr">
        <is>
          <t>Enter grade + m3 only. Cement / sand / aggregate / water / admixture consumed are computed from Mix Design.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 ht="30" customHeight="1">
      <c r="A4" s="25" t="inlineStr">
        <is>
          <t>Date</t>
        </is>
      </c>
      <c r="B4" s="25" t="inlineStr">
        <is>
          <t>Batch No.</t>
        </is>
      </c>
      <c r="C4" s="25" t="inlineStr">
        <is>
          <t>Grade</t>
        </is>
      </c>
      <c r="D4" s="25" t="inlineStr">
        <is>
          <t>Qty (m3)</t>
        </is>
      </c>
      <c r="E4" s="25" t="inlineStr">
        <is>
          <t>Operator</t>
        </is>
      </c>
      <c r="F4" s="25" t="inlineStr">
        <is>
          <t>Cement (kg)</t>
        </is>
      </c>
      <c r="G4" s="25" t="inlineStr">
        <is>
          <t>Sand (kg)</t>
        </is>
      </c>
      <c r="H4" s="25" t="inlineStr">
        <is>
          <t>Agg 20mm (kg)</t>
        </is>
      </c>
      <c r="I4" s="25" t="inlineStr">
        <is>
          <t>Agg 10mm (kg)</t>
        </is>
      </c>
      <c r="J4" s="25" t="inlineStr">
        <is>
          <t>Water (ltr)</t>
        </is>
      </c>
      <c r="K4" s="25" t="inlineStr">
        <is>
          <t>Admixture (kg)</t>
        </is>
      </c>
    </row>
    <row r="5">
      <c r="A5" s="26" t="inlineStr">
        <is>
          <t>2026-06-22</t>
        </is>
      </c>
      <c r="B5" s="21" t="inlineStr">
        <is>
          <t>B-101</t>
        </is>
      </c>
      <c r="C5" s="21" t="inlineStr">
        <is>
          <t>M25</t>
        </is>
      </c>
      <c r="D5" s="22" t="n">
        <v>6</v>
      </c>
      <c r="E5" s="21" t="inlineStr">
        <is>
          <t>Anil</t>
        </is>
      </c>
      <c r="F5" s="23">
        <f>IFERROR(IF(OR(C5="",D5=""),"",D5*VLOOKUP(C5,'Setup - Mix Design'!$A$5:$I$304,2,0)),"")</f>
        <v/>
      </c>
      <c r="G5" s="23">
        <f>IFERROR(IF(OR(C5="",D5=""),"",D5*VLOOKUP(C5,'Setup - Mix Design'!$A$5:$I$304,3,0)),"")</f>
        <v/>
      </c>
      <c r="H5" s="23">
        <f>IFERROR(IF(OR(C5="",D5=""),"",D5*VLOOKUP(C5,'Setup - Mix Design'!$A$5:$I$304,4,0)),"")</f>
        <v/>
      </c>
      <c r="I5" s="23">
        <f>IFERROR(IF(OR(C5="",D5=""),"",D5*VLOOKUP(C5,'Setup - Mix Design'!$A$5:$I$304,5,0)),"")</f>
        <v/>
      </c>
      <c r="J5" s="23">
        <f>IFERROR(IF(OR(C5="",D5=""),"",D5*VLOOKUP(C5,'Setup - Mix Design'!$A$5:$I$304,6,0)),"")</f>
        <v/>
      </c>
      <c r="K5" s="23">
        <f>IFERROR(IF(OR(C5="",D5=""),"",D5*VLOOKUP(C5,'Setup - Mix Design'!$A$5:$I$304,7,0)),"")</f>
        <v/>
      </c>
    </row>
    <row r="6">
      <c r="A6" s="26" t="inlineStr">
        <is>
          <t>2026-06-22</t>
        </is>
      </c>
      <c r="B6" s="21" t="inlineStr">
        <is>
          <t>B-102</t>
        </is>
      </c>
      <c r="C6" s="21" t="inlineStr">
        <is>
          <t>M25</t>
        </is>
      </c>
      <c r="D6" s="22" t="n">
        <v>7</v>
      </c>
      <c r="E6" s="21" t="inlineStr">
        <is>
          <t>Anil</t>
        </is>
      </c>
      <c r="F6" s="23">
        <f>IFERROR(IF(OR(C6="",D6=""),"",D6*VLOOKUP(C6,'Setup - Mix Design'!$A$5:$I$304,2,0)),"")</f>
        <v/>
      </c>
      <c r="G6" s="23">
        <f>IFERROR(IF(OR(C6="",D6=""),"",D6*VLOOKUP(C6,'Setup - Mix Design'!$A$5:$I$304,3,0)),"")</f>
        <v/>
      </c>
      <c r="H6" s="23">
        <f>IFERROR(IF(OR(C6="",D6=""),"",D6*VLOOKUP(C6,'Setup - Mix Design'!$A$5:$I$304,4,0)),"")</f>
        <v/>
      </c>
      <c r="I6" s="23">
        <f>IFERROR(IF(OR(C6="",D6=""),"",D6*VLOOKUP(C6,'Setup - Mix Design'!$A$5:$I$304,5,0)),"")</f>
        <v/>
      </c>
      <c r="J6" s="23">
        <f>IFERROR(IF(OR(C6="",D6=""),"",D6*VLOOKUP(C6,'Setup - Mix Design'!$A$5:$I$304,6,0)),"")</f>
        <v/>
      </c>
      <c r="K6" s="23">
        <f>IFERROR(IF(OR(C6="",D6=""),"",D6*VLOOKUP(C6,'Setup - Mix Design'!$A$5:$I$304,7,0)),"")</f>
        <v/>
      </c>
    </row>
    <row r="7">
      <c r="A7" s="26" t="inlineStr">
        <is>
          <t>2026-06-22</t>
        </is>
      </c>
      <c r="B7" s="21" t="inlineStr">
        <is>
          <t>B-103</t>
        </is>
      </c>
      <c r="C7" s="21" t="inlineStr">
        <is>
          <t>M30</t>
        </is>
      </c>
      <c r="D7" s="22" t="n">
        <v>7</v>
      </c>
      <c r="E7" s="21" t="inlineStr">
        <is>
          <t>Prakash</t>
        </is>
      </c>
      <c r="F7" s="23">
        <f>IFERROR(IF(OR(C7="",D7=""),"",D7*VLOOKUP(C7,'Setup - Mix Design'!$A$5:$I$304,2,0)),"")</f>
        <v/>
      </c>
      <c r="G7" s="23">
        <f>IFERROR(IF(OR(C7="",D7=""),"",D7*VLOOKUP(C7,'Setup - Mix Design'!$A$5:$I$304,3,0)),"")</f>
        <v/>
      </c>
      <c r="H7" s="23">
        <f>IFERROR(IF(OR(C7="",D7=""),"",D7*VLOOKUP(C7,'Setup - Mix Design'!$A$5:$I$304,4,0)),"")</f>
        <v/>
      </c>
      <c r="I7" s="23">
        <f>IFERROR(IF(OR(C7="",D7=""),"",D7*VLOOKUP(C7,'Setup - Mix Design'!$A$5:$I$304,5,0)),"")</f>
        <v/>
      </c>
      <c r="J7" s="23">
        <f>IFERROR(IF(OR(C7="",D7=""),"",D7*VLOOKUP(C7,'Setup - Mix Design'!$A$5:$I$304,6,0)),"")</f>
        <v/>
      </c>
      <c r="K7" s="23">
        <f>IFERROR(IF(OR(C7="",D7=""),"",D7*VLOOKUP(C7,'Setup - Mix Design'!$A$5:$I$304,7,0)),"")</f>
        <v/>
      </c>
    </row>
    <row r="8">
      <c r="A8" s="26" t="n"/>
      <c r="B8" s="21" t="n"/>
      <c r="C8" s="21" t="n"/>
      <c r="D8" s="22" t="n"/>
      <c r="E8" s="21" t="n"/>
      <c r="F8" s="23">
        <f>IFERROR(IF(OR(C8="",D8=""),"",D8*VLOOKUP(C8,'Setup - Mix Design'!$A$5:$I$304,2,0)),"")</f>
        <v/>
      </c>
      <c r="G8" s="23">
        <f>IFERROR(IF(OR(C8="",D8=""),"",D8*VLOOKUP(C8,'Setup - Mix Design'!$A$5:$I$304,3,0)),"")</f>
        <v/>
      </c>
      <c r="H8" s="23">
        <f>IFERROR(IF(OR(C8="",D8=""),"",D8*VLOOKUP(C8,'Setup - Mix Design'!$A$5:$I$304,4,0)),"")</f>
        <v/>
      </c>
      <c r="I8" s="23">
        <f>IFERROR(IF(OR(C8="",D8=""),"",D8*VLOOKUP(C8,'Setup - Mix Design'!$A$5:$I$304,5,0)),"")</f>
        <v/>
      </c>
      <c r="J8" s="23">
        <f>IFERROR(IF(OR(C8="",D8=""),"",D8*VLOOKUP(C8,'Setup - Mix Design'!$A$5:$I$304,6,0)),"")</f>
        <v/>
      </c>
      <c r="K8" s="23">
        <f>IFERROR(IF(OR(C8="",D8=""),"",D8*VLOOKUP(C8,'Setup - Mix Design'!$A$5:$I$304,7,0)),"")</f>
        <v/>
      </c>
    </row>
    <row r="9">
      <c r="A9" s="26" t="n"/>
      <c r="B9" s="21" t="n"/>
      <c r="C9" s="21" t="n"/>
      <c r="D9" s="22" t="n"/>
      <c r="E9" s="21" t="n"/>
      <c r="F9" s="23">
        <f>IFERROR(IF(OR(C9="",D9=""),"",D9*VLOOKUP(C9,'Setup - Mix Design'!$A$5:$I$304,2,0)),"")</f>
        <v/>
      </c>
      <c r="G9" s="23">
        <f>IFERROR(IF(OR(C9="",D9=""),"",D9*VLOOKUP(C9,'Setup - Mix Design'!$A$5:$I$304,3,0)),"")</f>
        <v/>
      </c>
      <c r="H9" s="23">
        <f>IFERROR(IF(OR(C9="",D9=""),"",D9*VLOOKUP(C9,'Setup - Mix Design'!$A$5:$I$304,4,0)),"")</f>
        <v/>
      </c>
      <c r="I9" s="23">
        <f>IFERROR(IF(OR(C9="",D9=""),"",D9*VLOOKUP(C9,'Setup - Mix Design'!$A$5:$I$304,5,0)),"")</f>
        <v/>
      </c>
      <c r="J9" s="23">
        <f>IFERROR(IF(OR(C9="",D9=""),"",D9*VLOOKUP(C9,'Setup - Mix Design'!$A$5:$I$304,6,0)),"")</f>
        <v/>
      </c>
      <c r="K9" s="23">
        <f>IFERROR(IF(OR(C9="",D9=""),"",D9*VLOOKUP(C9,'Setup - Mix Design'!$A$5:$I$304,7,0)),"")</f>
        <v/>
      </c>
    </row>
    <row r="10">
      <c r="A10" s="26" t="n"/>
      <c r="B10" s="21" t="n"/>
      <c r="C10" s="21" t="n"/>
      <c r="D10" s="22" t="n"/>
      <c r="E10" s="21" t="n"/>
      <c r="F10" s="23">
        <f>IFERROR(IF(OR(C10="",D10=""),"",D10*VLOOKUP(C10,'Setup - Mix Design'!$A$5:$I$304,2,0)),"")</f>
        <v/>
      </c>
      <c r="G10" s="23">
        <f>IFERROR(IF(OR(C10="",D10=""),"",D10*VLOOKUP(C10,'Setup - Mix Design'!$A$5:$I$304,3,0)),"")</f>
        <v/>
      </c>
      <c r="H10" s="23">
        <f>IFERROR(IF(OR(C10="",D10=""),"",D10*VLOOKUP(C10,'Setup - Mix Design'!$A$5:$I$304,4,0)),"")</f>
        <v/>
      </c>
      <c r="I10" s="23">
        <f>IFERROR(IF(OR(C10="",D10=""),"",D10*VLOOKUP(C10,'Setup - Mix Design'!$A$5:$I$304,5,0)),"")</f>
        <v/>
      </c>
      <c r="J10" s="23">
        <f>IFERROR(IF(OR(C10="",D10=""),"",D10*VLOOKUP(C10,'Setup - Mix Design'!$A$5:$I$304,6,0)),"")</f>
        <v/>
      </c>
      <c r="K10" s="23">
        <f>IFERROR(IF(OR(C10="",D10=""),"",D10*VLOOKUP(C10,'Setup - Mix Design'!$A$5:$I$304,7,0)),"")</f>
        <v/>
      </c>
    </row>
    <row r="11">
      <c r="A11" s="26" t="n"/>
      <c r="B11" s="21" t="n"/>
      <c r="C11" s="21" t="n"/>
      <c r="D11" s="22" t="n"/>
      <c r="E11" s="21" t="n"/>
      <c r="F11" s="23">
        <f>IFERROR(IF(OR(C11="",D11=""),"",D11*VLOOKUP(C11,'Setup - Mix Design'!$A$5:$I$304,2,0)),"")</f>
        <v/>
      </c>
      <c r="G11" s="23">
        <f>IFERROR(IF(OR(C11="",D11=""),"",D11*VLOOKUP(C11,'Setup - Mix Design'!$A$5:$I$304,3,0)),"")</f>
        <v/>
      </c>
      <c r="H11" s="23">
        <f>IFERROR(IF(OR(C11="",D11=""),"",D11*VLOOKUP(C11,'Setup - Mix Design'!$A$5:$I$304,4,0)),"")</f>
        <v/>
      </c>
      <c r="I11" s="23">
        <f>IFERROR(IF(OR(C11="",D11=""),"",D11*VLOOKUP(C11,'Setup - Mix Design'!$A$5:$I$304,5,0)),"")</f>
        <v/>
      </c>
      <c r="J11" s="23">
        <f>IFERROR(IF(OR(C11="",D11=""),"",D11*VLOOKUP(C11,'Setup - Mix Design'!$A$5:$I$304,6,0)),"")</f>
        <v/>
      </c>
      <c r="K11" s="23">
        <f>IFERROR(IF(OR(C11="",D11=""),"",D11*VLOOKUP(C11,'Setup - Mix Design'!$A$5:$I$304,7,0)),"")</f>
        <v/>
      </c>
    </row>
    <row r="12">
      <c r="A12" s="26" t="n"/>
      <c r="B12" s="21" t="n"/>
      <c r="C12" s="21" t="n"/>
      <c r="D12" s="22" t="n"/>
      <c r="E12" s="21" t="n"/>
      <c r="F12" s="23">
        <f>IFERROR(IF(OR(C12="",D12=""),"",D12*VLOOKUP(C12,'Setup - Mix Design'!$A$5:$I$304,2,0)),"")</f>
        <v/>
      </c>
      <c r="G12" s="23">
        <f>IFERROR(IF(OR(C12="",D12=""),"",D12*VLOOKUP(C12,'Setup - Mix Design'!$A$5:$I$304,3,0)),"")</f>
        <v/>
      </c>
      <c r="H12" s="23">
        <f>IFERROR(IF(OR(C12="",D12=""),"",D12*VLOOKUP(C12,'Setup - Mix Design'!$A$5:$I$304,4,0)),"")</f>
        <v/>
      </c>
      <c r="I12" s="23">
        <f>IFERROR(IF(OR(C12="",D12=""),"",D12*VLOOKUP(C12,'Setup - Mix Design'!$A$5:$I$304,5,0)),"")</f>
        <v/>
      </c>
      <c r="J12" s="23">
        <f>IFERROR(IF(OR(C12="",D12=""),"",D12*VLOOKUP(C12,'Setup - Mix Design'!$A$5:$I$304,6,0)),"")</f>
        <v/>
      </c>
      <c r="K12" s="23">
        <f>IFERROR(IF(OR(C12="",D12=""),"",D12*VLOOKUP(C12,'Setup - Mix Design'!$A$5:$I$304,7,0)),"")</f>
        <v/>
      </c>
    </row>
    <row r="13">
      <c r="A13" s="26" t="n"/>
      <c r="B13" s="21" t="n"/>
      <c r="C13" s="21" t="n"/>
      <c r="D13" s="22" t="n"/>
      <c r="E13" s="21" t="n"/>
      <c r="F13" s="23">
        <f>IFERROR(IF(OR(C13="",D13=""),"",D13*VLOOKUP(C13,'Setup - Mix Design'!$A$5:$I$304,2,0)),"")</f>
        <v/>
      </c>
      <c r="G13" s="23">
        <f>IFERROR(IF(OR(C13="",D13=""),"",D13*VLOOKUP(C13,'Setup - Mix Design'!$A$5:$I$304,3,0)),"")</f>
        <v/>
      </c>
      <c r="H13" s="23">
        <f>IFERROR(IF(OR(C13="",D13=""),"",D13*VLOOKUP(C13,'Setup - Mix Design'!$A$5:$I$304,4,0)),"")</f>
        <v/>
      </c>
      <c r="I13" s="23">
        <f>IFERROR(IF(OR(C13="",D13=""),"",D13*VLOOKUP(C13,'Setup - Mix Design'!$A$5:$I$304,5,0)),"")</f>
        <v/>
      </c>
      <c r="J13" s="23">
        <f>IFERROR(IF(OR(C13="",D13=""),"",D13*VLOOKUP(C13,'Setup - Mix Design'!$A$5:$I$304,6,0)),"")</f>
        <v/>
      </c>
      <c r="K13" s="23">
        <f>IFERROR(IF(OR(C13="",D13=""),"",D13*VLOOKUP(C13,'Setup - Mix Design'!$A$5:$I$304,7,0)),"")</f>
        <v/>
      </c>
    </row>
    <row r="14">
      <c r="A14" s="26" t="n"/>
      <c r="B14" s="21" t="n"/>
      <c r="C14" s="21" t="n"/>
      <c r="D14" s="22" t="n"/>
      <c r="E14" s="21" t="n"/>
      <c r="F14" s="23">
        <f>IFERROR(IF(OR(C14="",D14=""),"",D14*VLOOKUP(C14,'Setup - Mix Design'!$A$5:$I$304,2,0)),"")</f>
        <v/>
      </c>
      <c r="G14" s="23">
        <f>IFERROR(IF(OR(C14="",D14=""),"",D14*VLOOKUP(C14,'Setup - Mix Design'!$A$5:$I$304,3,0)),"")</f>
        <v/>
      </c>
      <c r="H14" s="23">
        <f>IFERROR(IF(OR(C14="",D14=""),"",D14*VLOOKUP(C14,'Setup - Mix Design'!$A$5:$I$304,4,0)),"")</f>
        <v/>
      </c>
      <c r="I14" s="23">
        <f>IFERROR(IF(OR(C14="",D14=""),"",D14*VLOOKUP(C14,'Setup - Mix Design'!$A$5:$I$304,5,0)),"")</f>
        <v/>
      </c>
      <c r="J14" s="23">
        <f>IFERROR(IF(OR(C14="",D14=""),"",D14*VLOOKUP(C14,'Setup - Mix Design'!$A$5:$I$304,6,0)),"")</f>
        <v/>
      </c>
      <c r="K14" s="23">
        <f>IFERROR(IF(OR(C14="",D14=""),"",D14*VLOOKUP(C14,'Setup - Mix Design'!$A$5:$I$304,7,0)),"")</f>
        <v/>
      </c>
    </row>
    <row r="15">
      <c r="A15" s="26" t="n"/>
      <c r="B15" s="21" t="n"/>
      <c r="C15" s="21" t="n"/>
      <c r="D15" s="22" t="n"/>
      <c r="E15" s="21" t="n"/>
      <c r="F15" s="23">
        <f>IFERROR(IF(OR(C15="",D15=""),"",D15*VLOOKUP(C15,'Setup - Mix Design'!$A$5:$I$304,2,0)),"")</f>
        <v/>
      </c>
      <c r="G15" s="23">
        <f>IFERROR(IF(OR(C15="",D15=""),"",D15*VLOOKUP(C15,'Setup - Mix Design'!$A$5:$I$304,3,0)),"")</f>
        <v/>
      </c>
      <c r="H15" s="23">
        <f>IFERROR(IF(OR(C15="",D15=""),"",D15*VLOOKUP(C15,'Setup - Mix Design'!$A$5:$I$304,4,0)),"")</f>
        <v/>
      </c>
      <c r="I15" s="23">
        <f>IFERROR(IF(OR(C15="",D15=""),"",D15*VLOOKUP(C15,'Setup - Mix Design'!$A$5:$I$304,5,0)),"")</f>
        <v/>
      </c>
      <c r="J15" s="23">
        <f>IFERROR(IF(OR(C15="",D15=""),"",D15*VLOOKUP(C15,'Setup - Mix Design'!$A$5:$I$304,6,0)),"")</f>
        <v/>
      </c>
      <c r="K15" s="23">
        <f>IFERROR(IF(OR(C15="",D15=""),"",D15*VLOOKUP(C15,'Setup - Mix Design'!$A$5:$I$304,7,0)),"")</f>
        <v/>
      </c>
    </row>
    <row r="16">
      <c r="A16" s="26" t="n"/>
      <c r="B16" s="21" t="n"/>
      <c r="C16" s="21" t="n"/>
      <c r="D16" s="22" t="n"/>
      <c r="E16" s="21" t="n"/>
      <c r="F16" s="23">
        <f>IFERROR(IF(OR(C16="",D16=""),"",D16*VLOOKUP(C16,'Setup - Mix Design'!$A$5:$I$304,2,0)),"")</f>
        <v/>
      </c>
      <c r="G16" s="23">
        <f>IFERROR(IF(OR(C16="",D16=""),"",D16*VLOOKUP(C16,'Setup - Mix Design'!$A$5:$I$304,3,0)),"")</f>
        <v/>
      </c>
      <c r="H16" s="23">
        <f>IFERROR(IF(OR(C16="",D16=""),"",D16*VLOOKUP(C16,'Setup - Mix Design'!$A$5:$I$304,4,0)),"")</f>
        <v/>
      </c>
      <c r="I16" s="23">
        <f>IFERROR(IF(OR(C16="",D16=""),"",D16*VLOOKUP(C16,'Setup - Mix Design'!$A$5:$I$304,5,0)),"")</f>
        <v/>
      </c>
      <c r="J16" s="23">
        <f>IFERROR(IF(OR(C16="",D16=""),"",D16*VLOOKUP(C16,'Setup - Mix Design'!$A$5:$I$304,6,0)),"")</f>
        <v/>
      </c>
      <c r="K16" s="23">
        <f>IFERROR(IF(OR(C16="",D16=""),"",D16*VLOOKUP(C16,'Setup - Mix Design'!$A$5:$I$304,7,0)),"")</f>
        <v/>
      </c>
    </row>
    <row r="17">
      <c r="A17" s="26" t="n"/>
      <c r="B17" s="21" t="n"/>
      <c r="C17" s="21" t="n"/>
      <c r="D17" s="22" t="n"/>
      <c r="E17" s="21" t="n"/>
      <c r="F17" s="23">
        <f>IFERROR(IF(OR(C17="",D17=""),"",D17*VLOOKUP(C17,'Setup - Mix Design'!$A$5:$I$304,2,0)),"")</f>
        <v/>
      </c>
      <c r="G17" s="23">
        <f>IFERROR(IF(OR(C17="",D17=""),"",D17*VLOOKUP(C17,'Setup - Mix Design'!$A$5:$I$304,3,0)),"")</f>
        <v/>
      </c>
      <c r="H17" s="23">
        <f>IFERROR(IF(OR(C17="",D17=""),"",D17*VLOOKUP(C17,'Setup - Mix Design'!$A$5:$I$304,4,0)),"")</f>
        <v/>
      </c>
      <c r="I17" s="23">
        <f>IFERROR(IF(OR(C17="",D17=""),"",D17*VLOOKUP(C17,'Setup - Mix Design'!$A$5:$I$304,5,0)),"")</f>
        <v/>
      </c>
      <c r="J17" s="23">
        <f>IFERROR(IF(OR(C17="",D17=""),"",D17*VLOOKUP(C17,'Setup - Mix Design'!$A$5:$I$304,6,0)),"")</f>
        <v/>
      </c>
      <c r="K17" s="23">
        <f>IFERROR(IF(OR(C17="",D17=""),"",D17*VLOOKUP(C17,'Setup - Mix Design'!$A$5:$I$304,7,0)),"")</f>
        <v/>
      </c>
    </row>
    <row r="18">
      <c r="A18" s="26" t="n"/>
      <c r="B18" s="21" t="n"/>
      <c r="C18" s="21" t="n"/>
      <c r="D18" s="22" t="n"/>
      <c r="E18" s="21" t="n"/>
      <c r="F18" s="23">
        <f>IFERROR(IF(OR(C18="",D18=""),"",D18*VLOOKUP(C18,'Setup - Mix Design'!$A$5:$I$304,2,0)),"")</f>
        <v/>
      </c>
      <c r="G18" s="23">
        <f>IFERROR(IF(OR(C18="",D18=""),"",D18*VLOOKUP(C18,'Setup - Mix Design'!$A$5:$I$304,3,0)),"")</f>
        <v/>
      </c>
      <c r="H18" s="23">
        <f>IFERROR(IF(OR(C18="",D18=""),"",D18*VLOOKUP(C18,'Setup - Mix Design'!$A$5:$I$304,4,0)),"")</f>
        <v/>
      </c>
      <c r="I18" s="23">
        <f>IFERROR(IF(OR(C18="",D18=""),"",D18*VLOOKUP(C18,'Setup - Mix Design'!$A$5:$I$304,5,0)),"")</f>
        <v/>
      </c>
      <c r="J18" s="23">
        <f>IFERROR(IF(OR(C18="",D18=""),"",D18*VLOOKUP(C18,'Setup - Mix Design'!$A$5:$I$304,6,0)),"")</f>
        <v/>
      </c>
      <c r="K18" s="23">
        <f>IFERROR(IF(OR(C18="",D18=""),"",D18*VLOOKUP(C18,'Setup - Mix Design'!$A$5:$I$304,7,0)),"")</f>
        <v/>
      </c>
    </row>
    <row r="19">
      <c r="A19" s="26" t="n"/>
      <c r="B19" s="21" t="n"/>
      <c r="C19" s="21" t="n"/>
      <c r="D19" s="22" t="n"/>
      <c r="E19" s="21" t="n"/>
      <c r="F19" s="23">
        <f>IFERROR(IF(OR(C19="",D19=""),"",D19*VLOOKUP(C19,'Setup - Mix Design'!$A$5:$I$304,2,0)),"")</f>
        <v/>
      </c>
      <c r="G19" s="23">
        <f>IFERROR(IF(OR(C19="",D19=""),"",D19*VLOOKUP(C19,'Setup - Mix Design'!$A$5:$I$304,3,0)),"")</f>
        <v/>
      </c>
      <c r="H19" s="23">
        <f>IFERROR(IF(OR(C19="",D19=""),"",D19*VLOOKUP(C19,'Setup - Mix Design'!$A$5:$I$304,4,0)),"")</f>
        <v/>
      </c>
      <c r="I19" s="23">
        <f>IFERROR(IF(OR(C19="",D19=""),"",D19*VLOOKUP(C19,'Setup - Mix Design'!$A$5:$I$304,5,0)),"")</f>
        <v/>
      </c>
      <c r="J19" s="23">
        <f>IFERROR(IF(OR(C19="",D19=""),"",D19*VLOOKUP(C19,'Setup - Mix Design'!$A$5:$I$304,6,0)),"")</f>
        <v/>
      </c>
      <c r="K19" s="23">
        <f>IFERROR(IF(OR(C19="",D19=""),"",D19*VLOOKUP(C19,'Setup - Mix Design'!$A$5:$I$304,7,0)),"")</f>
        <v/>
      </c>
    </row>
    <row r="20">
      <c r="A20" s="26" t="n"/>
      <c r="B20" s="21" t="n"/>
      <c r="C20" s="21" t="n"/>
      <c r="D20" s="22" t="n"/>
      <c r="E20" s="21" t="n"/>
      <c r="F20" s="23">
        <f>IFERROR(IF(OR(C20="",D20=""),"",D20*VLOOKUP(C20,'Setup - Mix Design'!$A$5:$I$304,2,0)),"")</f>
        <v/>
      </c>
      <c r="G20" s="23">
        <f>IFERROR(IF(OR(C20="",D20=""),"",D20*VLOOKUP(C20,'Setup - Mix Design'!$A$5:$I$304,3,0)),"")</f>
        <v/>
      </c>
      <c r="H20" s="23">
        <f>IFERROR(IF(OR(C20="",D20=""),"",D20*VLOOKUP(C20,'Setup - Mix Design'!$A$5:$I$304,4,0)),"")</f>
        <v/>
      </c>
      <c r="I20" s="23">
        <f>IFERROR(IF(OR(C20="",D20=""),"",D20*VLOOKUP(C20,'Setup - Mix Design'!$A$5:$I$304,5,0)),"")</f>
        <v/>
      </c>
      <c r="J20" s="23">
        <f>IFERROR(IF(OR(C20="",D20=""),"",D20*VLOOKUP(C20,'Setup - Mix Design'!$A$5:$I$304,6,0)),"")</f>
        <v/>
      </c>
      <c r="K20" s="23">
        <f>IFERROR(IF(OR(C20="",D20=""),"",D20*VLOOKUP(C20,'Setup - Mix Design'!$A$5:$I$304,7,0)),"")</f>
        <v/>
      </c>
    </row>
    <row r="21">
      <c r="A21" s="26" t="n"/>
      <c r="B21" s="21" t="n"/>
      <c r="C21" s="21" t="n"/>
      <c r="D21" s="22" t="n"/>
      <c r="E21" s="21" t="n"/>
      <c r="F21" s="23">
        <f>IFERROR(IF(OR(C21="",D21=""),"",D21*VLOOKUP(C21,'Setup - Mix Design'!$A$5:$I$304,2,0)),"")</f>
        <v/>
      </c>
      <c r="G21" s="23">
        <f>IFERROR(IF(OR(C21="",D21=""),"",D21*VLOOKUP(C21,'Setup - Mix Design'!$A$5:$I$304,3,0)),"")</f>
        <v/>
      </c>
      <c r="H21" s="23">
        <f>IFERROR(IF(OR(C21="",D21=""),"",D21*VLOOKUP(C21,'Setup - Mix Design'!$A$5:$I$304,4,0)),"")</f>
        <v/>
      </c>
      <c r="I21" s="23">
        <f>IFERROR(IF(OR(C21="",D21=""),"",D21*VLOOKUP(C21,'Setup - Mix Design'!$A$5:$I$304,5,0)),"")</f>
        <v/>
      </c>
      <c r="J21" s="23">
        <f>IFERROR(IF(OR(C21="",D21=""),"",D21*VLOOKUP(C21,'Setup - Mix Design'!$A$5:$I$304,6,0)),"")</f>
        <v/>
      </c>
      <c r="K21" s="23">
        <f>IFERROR(IF(OR(C21="",D21=""),"",D21*VLOOKUP(C21,'Setup - Mix Design'!$A$5:$I$304,7,0)),"")</f>
        <v/>
      </c>
    </row>
    <row r="22">
      <c r="A22" s="26" t="n"/>
      <c r="B22" s="21" t="n"/>
      <c r="C22" s="21" t="n"/>
      <c r="D22" s="22" t="n"/>
      <c r="E22" s="21" t="n"/>
      <c r="F22" s="23">
        <f>IFERROR(IF(OR(C22="",D22=""),"",D22*VLOOKUP(C22,'Setup - Mix Design'!$A$5:$I$304,2,0)),"")</f>
        <v/>
      </c>
      <c r="G22" s="23">
        <f>IFERROR(IF(OR(C22="",D22=""),"",D22*VLOOKUP(C22,'Setup - Mix Design'!$A$5:$I$304,3,0)),"")</f>
        <v/>
      </c>
      <c r="H22" s="23">
        <f>IFERROR(IF(OR(C22="",D22=""),"",D22*VLOOKUP(C22,'Setup - Mix Design'!$A$5:$I$304,4,0)),"")</f>
        <v/>
      </c>
      <c r="I22" s="23">
        <f>IFERROR(IF(OR(C22="",D22=""),"",D22*VLOOKUP(C22,'Setup - Mix Design'!$A$5:$I$304,5,0)),"")</f>
        <v/>
      </c>
      <c r="J22" s="23">
        <f>IFERROR(IF(OR(C22="",D22=""),"",D22*VLOOKUP(C22,'Setup - Mix Design'!$A$5:$I$304,6,0)),"")</f>
        <v/>
      </c>
      <c r="K22" s="23">
        <f>IFERROR(IF(OR(C22="",D22=""),"",D22*VLOOKUP(C22,'Setup - Mix Design'!$A$5:$I$304,7,0)),"")</f>
        <v/>
      </c>
    </row>
    <row r="23">
      <c r="A23" s="26" t="n"/>
      <c r="B23" s="21" t="n"/>
      <c r="C23" s="21" t="n"/>
      <c r="D23" s="22" t="n"/>
      <c r="E23" s="21" t="n"/>
      <c r="F23" s="23">
        <f>IFERROR(IF(OR(C23="",D23=""),"",D23*VLOOKUP(C23,'Setup - Mix Design'!$A$5:$I$304,2,0)),"")</f>
        <v/>
      </c>
      <c r="G23" s="23">
        <f>IFERROR(IF(OR(C23="",D23=""),"",D23*VLOOKUP(C23,'Setup - Mix Design'!$A$5:$I$304,3,0)),"")</f>
        <v/>
      </c>
      <c r="H23" s="23">
        <f>IFERROR(IF(OR(C23="",D23=""),"",D23*VLOOKUP(C23,'Setup - Mix Design'!$A$5:$I$304,4,0)),"")</f>
        <v/>
      </c>
      <c r="I23" s="23">
        <f>IFERROR(IF(OR(C23="",D23=""),"",D23*VLOOKUP(C23,'Setup - Mix Design'!$A$5:$I$304,5,0)),"")</f>
        <v/>
      </c>
      <c r="J23" s="23">
        <f>IFERROR(IF(OR(C23="",D23=""),"",D23*VLOOKUP(C23,'Setup - Mix Design'!$A$5:$I$304,6,0)),"")</f>
        <v/>
      </c>
      <c r="K23" s="23">
        <f>IFERROR(IF(OR(C23="",D23=""),"",D23*VLOOKUP(C23,'Setup - Mix Design'!$A$5:$I$304,7,0)),"")</f>
        <v/>
      </c>
    </row>
    <row r="24">
      <c r="A24" s="26" t="n"/>
      <c r="B24" s="21" t="n"/>
      <c r="C24" s="21" t="n"/>
      <c r="D24" s="22" t="n"/>
      <c r="E24" s="21" t="n"/>
      <c r="F24" s="23">
        <f>IFERROR(IF(OR(C24="",D24=""),"",D24*VLOOKUP(C24,'Setup - Mix Design'!$A$5:$I$304,2,0)),"")</f>
        <v/>
      </c>
      <c r="G24" s="23">
        <f>IFERROR(IF(OR(C24="",D24=""),"",D24*VLOOKUP(C24,'Setup - Mix Design'!$A$5:$I$304,3,0)),"")</f>
        <v/>
      </c>
      <c r="H24" s="23">
        <f>IFERROR(IF(OR(C24="",D24=""),"",D24*VLOOKUP(C24,'Setup - Mix Design'!$A$5:$I$304,4,0)),"")</f>
        <v/>
      </c>
      <c r="I24" s="23">
        <f>IFERROR(IF(OR(C24="",D24=""),"",D24*VLOOKUP(C24,'Setup - Mix Design'!$A$5:$I$304,5,0)),"")</f>
        <v/>
      </c>
      <c r="J24" s="23">
        <f>IFERROR(IF(OR(C24="",D24=""),"",D24*VLOOKUP(C24,'Setup - Mix Design'!$A$5:$I$304,6,0)),"")</f>
        <v/>
      </c>
      <c r="K24" s="23">
        <f>IFERROR(IF(OR(C24="",D24=""),"",D24*VLOOKUP(C24,'Setup - Mix Design'!$A$5:$I$304,7,0)),"")</f>
        <v/>
      </c>
    </row>
    <row r="25">
      <c r="A25" s="26" t="n"/>
      <c r="B25" s="21" t="n"/>
      <c r="C25" s="21" t="n"/>
      <c r="D25" s="22" t="n"/>
      <c r="E25" s="21" t="n"/>
      <c r="F25" s="23">
        <f>IFERROR(IF(OR(C25="",D25=""),"",D25*VLOOKUP(C25,'Setup - Mix Design'!$A$5:$I$304,2,0)),"")</f>
        <v/>
      </c>
      <c r="G25" s="23">
        <f>IFERROR(IF(OR(C25="",D25=""),"",D25*VLOOKUP(C25,'Setup - Mix Design'!$A$5:$I$304,3,0)),"")</f>
        <v/>
      </c>
      <c r="H25" s="23">
        <f>IFERROR(IF(OR(C25="",D25=""),"",D25*VLOOKUP(C25,'Setup - Mix Design'!$A$5:$I$304,4,0)),"")</f>
        <v/>
      </c>
      <c r="I25" s="23">
        <f>IFERROR(IF(OR(C25="",D25=""),"",D25*VLOOKUP(C25,'Setup - Mix Design'!$A$5:$I$304,5,0)),"")</f>
        <v/>
      </c>
      <c r="J25" s="23">
        <f>IFERROR(IF(OR(C25="",D25=""),"",D25*VLOOKUP(C25,'Setup - Mix Design'!$A$5:$I$304,6,0)),"")</f>
        <v/>
      </c>
      <c r="K25" s="23">
        <f>IFERROR(IF(OR(C25="",D25=""),"",D25*VLOOKUP(C25,'Setup - Mix Design'!$A$5:$I$304,7,0)),"")</f>
        <v/>
      </c>
    </row>
    <row r="26">
      <c r="A26" s="26" t="n"/>
      <c r="B26" s="21" t="n"/>
      <c r="C26" s="21" t="n"/>
      <c r="D26" s="22" t="n"/>
      <c r="E26" s="21" t="n"/>
      <c r="F26" s="23">
        <f>IFERROR(IF(OR(C26="",D26=""),"",D26*VLOOKUP(C26,'Setup - Mix Design'!$A$5:$I$304,2,0)),"")</f>
        <v/>
      </c>
      <c r="G26" s="23">
        <f>IFERROR(IF(OR(C26="",D26=""),"",D26*VLOOKUP(C26,'Setup - Mix Design'!$A$5:$I$304,3,0)),"")</f>
        <v/>
      </c>
      <c r="H26" s="23">
        <f>IFERROR(IF(OR(C26="",D26=""),"",D26*VLOOKUP(C26,'Setup - Mix Design'!$A$5:$I$304,4,0)),"")</f>
        <v/>
      </c>
      <c r="I26" s="23">
        <f>IFERROR(IF(OR(C26="",D26=""),"",D26*VLOOKUP(C26,'Setup - Mix Design'!$A$5:$I$304,5,0)),"")</f>
        <v/>
      </c>
      <c r="J26" s="23">
        <f>IFERROR(IF(OR(C26="",D26=""),"",D26*VLOOKUP(C26,'Setup - Mix Design'!$A$5:$I$304,6,0)),"")</f>
        <v/>
      </c>
      <c r="K26" s="23">
        <f>IFERROR(IF(OR(C26="",D26=""),"",D26*VLOOKUP(C26,'Setup - Mix Design'!$A$5:$I$304,7,0)),"")</f>
        <v/>
      </c>
    </row>
    <row r="27">
      <c r="A27" s="26" t="n"/>
      <c r="B27" s="21" t="n"/>
      <c r="C27" s="21" t="n"/>
      <c r="D27" s="22" t="n"/>
      <c r="E27" s="21" t="n"/>
      <c r="F27" s="23">
        <f>IFERROR(IF(OR(C27="",D27=""),"",D27*VLOOKUP(C27,'Setup - Mix Design'!$A$5:$I$304,2,0)),"")</f>
        <v/>
      </c>
      <c r="G27" s="23">
        <f>IFERROR(IF(OR(C27="",D27=""),"",D27*VLOOKUP(C27,'Setup - Mix Design'!$A$5:$I$304,3,0)),"")</f>
        <v/>
      </c>
      <c r="H27" s="23">
        <f>IFERROR(IF(OR(C27="",D27=""),"",D27*VLOOKUP(C27,'Setup - Mix Design'!$A$5:$I$304,4,0)),"")</f>
        <v/>
      </c>
      <c r="I27" s="23">
        <f>IFERROR(IF(OR(C27="",D27=""),"",D27*VLOOKUP(C27,'Setup - Mix Design'!$A$5:$I$304,5,0)),"")</f>
        <v/>
      </c>
      <c r="J27" s="23">
        <f>IFERROR(IF(OR(C27="",D27=""),"",D27*VLOOKUP(C27,'Setup - Mix Design'!$A$5:$I$304,6,0)),"")</f>
        <v/>
      </c>
      <c r="K27" s="23">
        <f>IFERROR(IF(OR(C27="",D27=""),"",D27*VLOOKUP(C27,'Setup - Mix Design'!$A$5:$I$304,7,0)),"")</f>
        <v/>
      </c>
    </row>
    <row r="28">
      <c r="A28" s="26" t="n"/>
      <c r="B28" s="21" t="n"/>
      <c r="C28" s="21" t="n"/>
      <c r="D28" s="22" t="n"/>
      <c r="E28" s="21" t="n"/>
      <c r="F28" s="23">
        <f>IFERROR(IF(OR(C28="",D28=""),"",D28*VLOOKUP(C28,'Setup - Mix Design'!$A$5:$I$304,2,0)),"")</f>
        <v/>
      </c>
      <c r="G28" s="23">
        <f>IFERROR(IF(OR(C28="",D28=""),"",D28*VLOOKUP(C28,'Setup - Mix Design'!$A$5:$I$304,3,0)),"")</f>
        <v/>
      </c>
      <c r="H28" s="23">
        <f>IFERROR(IF(OR(C28="",D28=""),"",D28*VLOOKUP(C28,'Setup - Mix Design'!$A$5:$I$304,4,0)),"")</f>
        <v/>
      </c>
      <c r="I28" s="23">
        <f>IFERROR(IF(OR(C28="",D28=""),"",D28*VLOOKUP(C28,'Setup - Mix Design'!$A$5:$I$304,5,0)),"")</f>
        <v/>
      </c>
      <c r="J28" s="23">
        <f>IFERROR(IF(OR(C28="",D28=""),"",D28*VLOOKUP(C28,'Setup - Mix Design'!$A$5:$I$304,6,0)),"")</f>
        <v/>
      </c>
      <c r="K28" s="23">
        <f>IFERROR(IF(OR(C28="",D28=""),"",D28*VLOOKUP(C28,'Setup - Mix Design'!$A$5:$I$304,7,0)),"")</f>
        <v/>
      </c>
    </row>
    <row r="29">
      <c r="A29" s="26" t="n"/>
      <c r="B29" s="21" t="n"/>
      <c r="C29" s="21" t="n"/>
      <c r="D29" s="22" t="n"/>
      <c r="E29" s="21" t="n"/>
      <c r="F29" s="23">
        <f>IFERROR(IF(OR(C29="",D29=""),"",D29*VLOOKUP(C29,'Setup - Mix Design'!$A$5:$I$304,2,0)),"")</f>
        <v/>
      </c>
      <c r="G29" s="23">
        <f>IFERROR(IF(OR(C29="",D29=""),"",D29*VLOOKUP(C29,'Setup - Mix Design'!$A$5:$I$304,3,0)),"")</f>
        <v/>
      </c>
      <c r="H29" s="23">
        <f>IFERROR(IF(OR(C29="",D29=""),"",D29*VLOOKUP(C29,'Setup - Mix Design'!$A$5:$I$304,4,0)),"")</f>
        <v/>
      </c>
      <c r="I29" s="23">
        <f>IFERROR(IF(OR(C29="",D29=""),"",D29*VLOOKUP(C29,'Setup - Mix Design'!$A$5:$I$304,5,0)),"")</f>
        <v/>
      </c>
      <c r="J29" s="23">
        <f>IFERROR(IF(OR(C29="",D29=""),"",D29*VLOOKUP(C29,'Setup - Mix Design'!$A$5:$I$304,6,0)),"")</f>
        <v/>
      </c>
      <c r="K29" s="23">
        <f>IFERROR(IF(OR(C29="",D29=""),"",D29*VLOOKUP(C29,'Setup - Mix Design'!$A$5:$I$304,7,0)),"")</f>
        <v/>
      </c>
    </row>
    <row r="30">
      <c r="A30" s="26" t="n"/>
      <c r="B30" s="21" t="n"/>
      <c r="C30" s="21" t="n"/>
      <c r="D30" s="22" t="n"/>
      <c r="E30" s="21" t="n"/>
      <c r="F30" s="23">
        <f>IFERROR(IF(OR(C30="",D30=""),"",D30*VLOOKUP(C30,'Setup - Mix Design'!$A$5:$I$304,2,0)),"")</f>
        <v/>
      </c>
      <c r="G30" s="23">
        <f>IFERROR(IF(OR(C30="",D30=""),"",D30*VLOOKUP(C30,'Setup - Mix Design'!$A$5:$I$304,3,0)),"")</f>
        <v/>
      </c>
      <c r="H30" s="23">
        <f>IFERROR(IF(OR(C30="",D30=""),"",D30*VLOOKUP(C30,'Setup - Mix Design'!$A$5:$I$304,4,0)),"")</f>
        <v/>
      </c>
      <c r="I30" s="23">
        <f>IFERROR(IF(OR(C30="",D30=""),"",D30*VLOOKUP(C30,'Setup - Mix Design'!$A$5:$I$304,5,0)),"")</f>
        <v/>
      </c>
      <c r="J30" s="23">
        <f>IFERROR(IF(OR(C30="",D30=""),"",D30*VLOOKUP(C30,'Setup - Mix Design'!$A$5:$I$304,6,0)),"")</f>
        <v/>
      </c>
      <c r="K30" s="23">
        <f>IFERROR(IF(OR(C30="",D30=""),"",D30*VLOOKUP(C30,'Setup - Mix Design'!$A$5:$I$304,7,0)),"")</f>
        <v/>
      </c>
    </row>
    <row r="31">
      <c r="A31" s="26" t="n"/>
      <c r="B31" s="21" t="n"/>
      <c r="C31" s="21" t="n"/>
      <c r="D31" s="22" t="n"/>
      <c r="E31" s="21" t="n"/>
      <c r="F31" s="23">
        <f>IFERROR(IF(OR(C31="",D31=""),"",D31*VLOOKUP(C31,'Setup - Mix Design'!$A$5:$I$304,2,0)),"")</f>
        <v/>
      </c>
      <c r="G31" s="23">
        <f>IFERROR(IF(OR(C31="",D31=""),"",D31*VLOOKUP(C31,'Setup - Mix Design'!$A$5:$I$304,3,0)),"")</f>
        <v/>
      </c>
      <c r="H31" s="23">
        <f>IFERROR(IF(OR(C31="",D31=""),"",D31*VLOOKUP(C31,'Setup - Mix Design'!$A$5:$I$304,4,0)),"")</f>
        <v/>
      </c>
      <c r="I31" s="23">
        <f>IFERROR(IF(OR(C31="",D31=""),"",D31*VLOOKUP(C31,'Setup - Mix Design'!$A$5:$I$304,5,0)),"")</f>
        <v/>
      </c>
      <c r="J31" s="23">
        <f>IFERROR(IF(OR(C31="",D31=""),"",D31*VLOOKUP(C31,'Setup - Mix Design'!$A$5:$I$304,6,0)),"")</f>
        <v/>
      </c>
      <c r="K31" s="23">
        <f>IFERROR(IF(OR(C31="",D31=""),"",D31*VLOOKUP(C31,'Setup - Mix Design'!$A$5:$I$304,7,0)),"")</f>
        <v/>
      </c>
    </row>
    <row r="32">
      <c r="A32" s="26" t="n"/>
      <c r="B32" s="21" t="n"/>
      <c r="C32" s="21" t="n"/>
      <c r="D32" s="22" t="n"/>
      <c r="E32" s="21" t="n"/>
      <c r="F32" s="23">
        <f>IFERROR(IF(OR(C32="",D32=""),"",D32*VLOOKUP(C32,'Setup - Mix Design'!$A$5:$I$304,2,0)),"")</f>
        <v/>
      </c>
      <c r="G32" s="23">
        <f>IFERROR(IF(OR(C32="",D32=""),"",D32*VLOOKUP(C32,'Setup - Mix Design'!$A$5:$I$304,3,0)),"")</f>
        <v/>
      </c>
      <c r="H32" s="23">
        <f>IFERROR(IF(OR(C32="",D32=""),"",D32*VLOOKUP(C32,'Setup - Mix Design'!$A$5:$I$304,4,0)),"")</f>
        <v/>
      </c>
      <c r="I32" s="23">
        <f>IFERROR(IF(OR(C32="",D32=""),"",D32*VLOOKUP(C32,'Setup - Mix Design'!$A$5:$I$304,5,0)),"")</f>
        <v/>
      </c>
      <c r="J32" s="23">
        <f>IFERROR(IF(OR(C32="",D32=""),"",D32*VLOOKUP(C32,'Setup - Mix Design'!$A$5:$I$304,6,0)),"")</f>
        <v/>
      </c>
      <c r="K32" s="23">
        <f>IFERROR(IF(OR(C32="",D32=""),"",D32*VLOOKUP(C32,'Setup - Mix Design'!$A$5:$I$304,7,0)),"")</f>
        <v/>
      </c>
    </row>
    <row r="33">
      <c r="A33" s="26" t="n"/>
      <c r="B33" s="21" t="n"/>
      <c r="C33" s="21" t="n"/>
      <c r="D33" s="22" t="n"/>
      <c r="E33" s="21" t="n"/>
      <c r="F33" s="23">
        <f>IFERROR(IF(OR(C33="",D33=""),"",D33*VLOOKUP(C33,'Setup - Mix Design'!$A$5:$I$304,2,0)),"")</f>
        <v/>
      </c>
      <c r="G33" s="23">
        <f>IFERROR(IF(OR(C33="",D33=""),"",D33*VLOOKUP(C33,'Setup - Mix Design'!$A$5:$I$304,3,0)),"")</f>
        <v/>
      </c>
      <c r="H33" s="23">
        <f>IFERROR(IF(OR(C33="",D33=""),"",D33*VLOOKUP(C33,'Setup - Mix Design'!$A$5:$I$304,4,0)),"")</f>
        <v/>
      </c>
      <c r="I33" s="23">
        <f>IFERROR(IF(OR(C33="",D33=""),"",D33*VLOOKUP(C33,'Setup - Mix Design'!$A$5:$I$304,5,0)),"")</f>
        <v/>
      </c>
      <c r="J33" s="23">
        <f>IFERROR(IF(OR(C33="",D33=""),"",D33*VLOOKUP(C33,'Setup - Mix Design'!$A$5:$I$304,6,0)),"")</f>
        <v/>
      </c>
      <c r="K33" s="23">
        <f>IFERROR(IF(OR(C33="",D33=""),"",D33*VLOOKUP(C33,'Setup - Mix Design'!$A$5:$I$304,7,0)),"")</f>
        <v/>
      </c>
    </row>
    <row r="34">
      <c r="A34" s="26" t="n"/>
      <c r="B34" s="21" t="n"/>
      <c r="C34" s="21" t="n"/>
      <c r="D34" s="22" t="n"/>
      <c r="E34" s="21" t="n"/>
      <c r="F34" s="23">
        <f>IFERROR(IF(OR(C34="",D34=""),"",D34*VLOOKUP(C34,'Setup - Mix Design'!$A$5:$I$304,2,0)),"")</f>
        <v/>
      </c>
      <c r="G34" s="23">
        <f>IFERROR(IF(OR(C34="",D34=""),"",D34*VLOOKUP(C34,'Setup - Mix Design'!$A$5:$I$304,3,0)),"")</f>
        <v/>
      </c>
      <c r="H34" s="23">
        <f>IFERROR(IF(OR(C34="",D34=""),"",D34*VLOOKUP(C34,'Setup - Mix Design'!$A$5:$I$304,4,0)),"")</f>
        <v/>
      </c>
      <c r="I34" s="23">
        <f>IFERROR(IF(OR(C34="",D34=""),"",D34*VLOOKUP(C34,'Setup - Mix Design'!$A$5:$I$304,5,0)),"")</f>
        <v/>
      </c>
      <c r="J34" s="23">
        <f>IFERROR(IF(OR(C34="",D34=""),"",D34*VLOOKUP(C34,'Setup - Mix Design'!$A$5:$I$304,6,0)),"")</f>
        <v/>
      </c>
      <c r="K34" s="23">
        <f>IFERROR(IF(OR(C34="",D34=""),"",D34*VLOOKUP(C34,'Setup - Mix Design'!$A$5:$I$304,7,0)),"")</f>
        <v/>
      </c>
    </row>
    <row r="35">
      <c r="A35" s="26" t="n"/>
      <c r="B35" s="21" t="n"/>
      <c r="C35" s="21" t="n"/>
      <c r="D35" s="22" t="n"/>
      <c r="E35" s="21" t="n"/>
      <c r="F35" s="23">
        <f>IFERROR(IF(OR(C35="",D35=""),"",D35*VLOOKUP(C35,'Setup - Mix Design'!$A$5:$I$304,2,0)),"")</f>
        <v/>
      </c>
      <c r="G35" s="23">
        <f>IFERROR(IF(OR(C35="",D35=""),"",D35*VLOOKUP(C35,'Setup - Mix Design'!$A$5:$I$304,3,0)),"")</f>
        <v/>
      </c>
      <c r="H35" s="23">
        <f>IFERROR(IF(OR(C35="",D35=""),"",D35*VLOOKUP(C35,'Setup - Mix Design'!$A$5:$I$304,4,0)),"")</f>
        <v/>
      </c>
      <c r="I35" s="23">
        <f>IFERROR(IF(OR(C35="",D35=""),"",D35*VLOOKUP(C35,'Setup - Mix Design'!$A$5:$I$304,5,0)),"")</f>
        <v/>
      </c>
      <c r="J35" s="23">
        <f>IFERROR(IF(OR(C35="",D35=""),"",D35*VLOOKUP(C35,'Setup - Mix Design'!$A$5:$I$304,6,0)),"")</f>
        <v/>
      </c>
      <c r="K35" s="23">
        <f>IFERROR(IF(OR(C35="",D35=""),"",D35*VLOOKUP(C35,'Setup - Mix Design'!$A$5:$I$304,7,0)),"")</f>
        <v/>
      </c>
    </row>
    <row r="36">
      <c r="A36" s="26" t="n"/>
      <c r="B36" s="21" t="n"/>
      <c r="C36" s="21" t="n"/>
      <c r="D36" s="22" t="n"/>
      <c r="E36" s="21" t="n"/>
      <c r="F36" s="23">
        <f>IFERROR(IF(OR(C36="",D36=""),"",D36*VLOOKUP(C36,'Setup - Mix Design'!$A$5:$I$304,2,0)),"")</f>
        <v/>
      </c>
      <c r="G36" s="23">
        <f>IFERROR(IF(OR(C36="",D36=""),"",D36*VLOOKUP(C36,'Setup - Mix Design'!$A$5:$I$304,3,0)),"")</f>
        <v/>
      </c>
      <c r="H36" s="23">
        <f>IFERROR(IF(OR(C36="",D36=""),"",D36*VLOOKUP(C36,'Setup - Mix Design'!$A$5:$I$304,4,0)),"")</f>
        <v/>
      </c>
      <c r="I36" s="23">
        <f>IFERROR(IF(OR(C36="",D36=""),"",D36*VLOOKUP(C36,'Setup - Mix Design'!$A$5:$I$304,5,0)),"")</f>
        <v/>
      </c>
      <c r="J36" s="23">
        <f>IFERROR(IF(OR(C36="",D36=""),"",D36*VLOOKUP(C36,'Setup - Mix Design'!$A$5:$I$304,6,0)),"")</f>
        <v/>
      </c>
      <c r="K36" s="23">
        <f>IFERROR(IF(OR(C36="",D36=""),"",D36*VLOOKUP(C36,'Setup - Mix Design'!$A$5:$I$304,7,0)),"")</f>
        <v/>
      </c>
    </row>
    <row r="37">
      <c r="A37" s="26" t="n"/>
      <c r="B37" s="21" t="n"/>
      <c r="C37" s="21" t="n"/>
      <c r="D37" s="22" t="n"/>
      <c r="E37" s="21" t="n"/>
      <c r="F37" s="23">
        <f>IFERROR(IF(OR(C37="",D37=""),"",D37*VLOOKUP(C37,'Setup - Mix Design'!$A$5:$I$304,2,0)),"")</f>
        <v/>
      </c>
      <c r="G37" s="23">
        <f>IFERROR(IF(OR(C37="",D37=""),"",D37*VLOOKUP(C37,'Setup - Mix Design'!$A$5:$I$304,3,0)),"")</f>
        <v/>
      </c>
      <c r="H37" s="23">
        <f>IFERROR(IF(OR(C37="",D37=""),"",D37*VLOOKUP(C37,'Setup - Mix Design'!$A$5:$I$304,4,0)),"")</f>
        <v/>
      </c>
      <c r="I37" s="23">
        <f>IFERROR(IF(OR(C37="",D37=""),"",D37*VLOOKUP(C37,'Setup - Mix Design'!$A$5:$I$304,5,0)),"")</f>
        <v/>
      </c>
      <c r="J37" s="23">
        <f>IFERROR(IF(OR(C37="",D37=""),"",D37*VLOOKUP(C37,'Setup - Mix Design'!$A$5:$I$304,6,0)),"")</f>
        <v/>
      </c>
      <c r="K37" s="23">
        <f>IFERROR(IF(OR(C37="",D37=""),"",D37*VLOOKUP(C37,'Setup - Mix Design'!$A$5:$I$304,7,0)),"")</f>
        <v/>
      </c>
    </row>
    <row r="38">
      <c r="A38" s="26" t="n"/>
      <c r="B38" s="21" t="n"/>
      <c r="C38" s="21" t="n"/>
      <c r="D38" s="22" t="n"/>
      <c r="E38" s="21" t="n"/>
      <c r="F38" s="23">
        <f>IFERROR(IF(OR(C38="",D38=""),"",D38*VLOOKUP(C38,'Setup - Mix Design'!$A$5:$I$304,2,0)),"")</f>
        <v/>
      </c>
      <c r="G38" s="23">
        <f>IFERROR(IF(OR(C38="",D38=""),"",D38*VLOOKUP(C38,'Setup - Mix Design'!$A$5:$I$304,3,0)),"")</f>
        <v/>
      </c>
      <c r="H38" s="23">
        <f>IFERROR(IF(OR(C38="",D38=""),"",D38*VLOOKUP(C38,'Setup - Mix Design'!$A$5:$I$304,4,0)),"")</f>
        <v/>
      </c>
      <c r="I38" s="23">
        <f>IFERROR(IF(OR(C38="",D38=""),"",D38*VLOOKUP(C38,'Setup - Mix Design'!$A$5:$I$304,5,0)),"")</f>
        <v/>
      </c>
      <c r="J38" s="23">
        <f>IFERROR(IF(OR(C38="",D38=""),"",D38*VLOOKUP(C38,'Setup - Mix Design'!$A$5:$I$304,6,0)),"")</f>
        <v/>
      </c>
      <c r="K38" s="23">
        <f>IFERROR(IF(OR(C38="",D38=""),"",D38*VLOOKUP(C38,'Setup - Mix Design'!$A$5:$I$304,7,0)),"")</f>
        <v/>
      </c>
    </row>
    <row r="39">
      <c r="A39" s="26" t="n"/>
      <c r="B39" s="21" t="n"/>
      <c r="C39" s="21" t="n"/>
      <c r="D39" s="22" t="n"/>
      <c r="E39" s="21" t="n"/>
      <c r="F39" s="23">
        <f>IFERROR(IF(OR(C39="",D39=""),"",D39*VLOOKUP(C39,'Setup - Mix Design'!$A$5:$I$304,2,0)),"")</f>
        <v/>
      </c>
      <c r="G39" s="23">
        <f>IFERROR(IF(OR(C39="",D39=""),"",D39*VLOOKUP(C39,'Setup - Mix Design'!$A$5:$I$304,3,0)),"")</f>
        <v/>
      </c>
      <c r="H39" s="23">
        <f>IFERROR(IF(OR(C39="",D39=""),"",D39*VLOOKUP(C39,'Setup - Mix Design'!$A$5:$I$304,4,0)),"")</f>
        <v/>
      </c>
      <c r="I39" s="23">
        <f>IFERROR(IF(OR(C39="",D39=""),"",D39*VLOOKUP(C39,'Setup - Mix Design'!$A$5:$I$304,5,0)),"")</f>
        <v/>
      </c>
      <c r="J39" s="23">
        <f>IFERROR(IF(OR(C39="",D39=""),"",D39*VLOOKUP(C39,'Setup - Mix Design'!$A$5:$I$304,6,0)),"")</f>
        <v/>
      </c>
      <c r="K39" s="23">
        <f>IFERROR(IF(OR(C39="",D39=""),"",D39*VLOOKUP(C39,'Setup - Mix Design'!$A$5:$I$304,7,0)),"")</f>
        <v/>
      </c>
    </row>
    <row r="40">
      <c r="A40" s="26" t="n"/>
      <c r="B40" s="21" t="n"/>
      <c r="C40" s="21" t="n"/>
      <c r="D40" s="22" t="n"/>
      <c r="E40" s="21" t="n"/>
      <c r="F40" s="23">
        <f>IFERROR(IF(OR(C40="",D40=""),"",D40*VLOOKUP(C40,'Setup - Mix Design'!$A$5:$I$304,2,0)),"")</f>
        <v/>
      </c>
      <c r="G40" s="23">
        <f>IFERROR(IF(OR(C40="",D40=""),"",D40*VLOOKUP(C40,'Setup - Mix Design'!$A$5:$I$304,3,0)),"")</f>
        <v/>
      </c>
      <c r="H40" s="23">
        <f>IFERROR(IF(OR(C40="",D40=""),"",D40*VLOOKUP(C40,'Setup - Mix Design'!$A$5:$I$304,4,0)),"")</f>
        <v/>
      </c>
      <c r="I40" s="23">
        <f>IFERROR(IF(OR(C40="",D40=""),"",D40*VLOOKUP(C40,'Setup - Mix Design'!$A$5:$I$304,5,0)),"")</f>
        <v/>
      </c>
      <c r="J40" s="23">
        <f>IFERROR(IF(OR(C40="",D40=""),"",D40*VLOOKUP(C40,'Setup - Mix Design'!$A$5:$I$304,6,0)),"")</f>
        <v/>
      </c>
      <c r="K40" s="23">
        <f>IFERROR(IF(OR(C40="",D40=""),"",D40*VLOOKUP(C40,'Setup - Mix Design'!$A$5:$I$304,7,0)),"")</f>
        <v/>
      </c>
    </row>
    <row r="41">
      <c r="A41" s="26" t="n"/>
      <c r="B41" s="21" t="n"/>
      <c r="C41" s="21" t="n"/>
      <c r="D41" s="22" t="n"/>
      <c r="E41" s="21" t="n"/>
      <c r="F41" s="23">
        <f>IFERROR(IF(OR(C41="",D41=""),"",D41*VLOOKUP(C41,'Setup - Mix Design'!$A$5:$I$304,2,0)),"")</f>
        <v/>
      </c>
      <c r="G41" s="23">
        <f>IFERROR(IF(OR(C41="",D41=""),"",D41*VLOOKUP(C41,'Setup - Mix Design'!$A$5:$I$304,3,0)),"")</f>
        <v/>
      </c>
      <c r="H41" s="23">
        <f>IFERROR(IF(OR(C41="",D41=""),"",D41*VLOOKUP(C41,'Setup - Mix Design'!$A$5:$I$304,4,0)),"")</f>
        <v/>
      </c>
      <c r="I41" s="23">
        <f>IFERROR(IF(OR(C41="",D41=""),"",D41*VLOOKUP(C41,'Setup - Mix Design'!$A$5:$I$304,5,0)),"")</f>
        <v/>
      </c>
      <c r="J41" s="23">
        <f>IFERROR(IF(OR(C41="",D41=""),"",D41*VLOOKUP(C41,'Setup - Mix Design'!$A$5:$I$304,6,0)),"")</f>
        <v/>
      </c>
      <c r="K41" s="23">
        <f>IFERROR(IF(OR(C41="",D41=""),"",D41*VLOOKUP(C41,'Setup - Mix Design'!$A$5:$I$304,7,0)),"")</f>
        <v/>
      </c>
    </row>
    <row r="42">
      <c r="A42" s="26" t="n"/>
      <c r="B42" s="21" t="n"/>
      <c r="C42" s="21" t="n"/>
      <c r="D42" s="22" t="n"/>
      <c r="E42" s="21" t="n"/>
      <c r="F42" s="23">
        <f>IFERROR(IF(OR(C42="",D42=""),"",D42*VLOOKUP(C42,'Setup - Mix Design'!$A$5:$I$304,2,0)),"")</f>
        <v/>
      </c>
      <c r="G42" s="23">
        <f>IFERROR(IF(OR(C42="",D42=""),"",D42*VLOOKUP(C42,'Setup - Mix Design'!$A$5:$I$304,3,0)),"")</f>
        <v/>
      </c>
      <c r="H42" s="23">
        <f>IFERROR(IF(OR(C42="",D42=""),"",D42*VLOOKUP(C42,'Setup - Mix Design'!$A$5:$I$304,4,0)),"")</f>
        <v/>
      </c>
      <c r="I42" s="23">
        <f>IFERROR(IF(OR(C42="",D42=""),"",D42*VLOOKUP(C42,'Setup - Mix Design'!$A$5:$I$304,5,0)),"")</f>
        <v/>
      </c>
      <c r="J42" s="23">
        <f>IFERROR(IF(OR(C42="",D42=""),"",D42*VLOOKUP(C42,'Setup - Mix Design'!$A$5:$I$304,6,0)),"")</f>
        <v/>
      </c>
      <c r="K42" s="23">
        <f>IFERROR(IF(OR(C42="",D42=""),"",D42*VLOOKUP(C42,'Setup - Mix Design'!$A$5:$I$304,7,0)),"")</f>
        <v/>
      </c>
    </row>
    <row r="43">
      <c r="A43" s="26" t="n"/>
      <c r="B43" s="21" t="n"/>
      <c r="C43" s="21" t="n"/>
      <c r="D43" s="22" t="n"/>
      <c r="E43" s="21" t="n"/>
      <c r="F43" s="23">
        <f>IFERROR(IF(OR(C43="",D43=""),"",D43*VLOOKUP(C43,'Setup - Mix Design'!$A$5:$I$304,2,0)),"")</f>
        <v/>
      </c>
      <c r="G43" s="23">
        <f>IFERROR(IF(OR(C43="",D43=""),"",D43*VLOOKUP(C43,'Setup - Mix Design'!$A$5:$I$304,3,0)),"")</f>
        <v/>
      </c>
      <c r="H43" s="23">
        <f>IFERROR(IF(OR(C43="",D43=""),"",D43*VLOOKUP(C43,'Setup - Mix Design'!$A$5:$I$304,4,0)),"")</f>
        <v/>
      </c>
      <c r="I43" s="23">
        <f>IFERROR(IF(OR(C43="",D43=""),"",D43*VLOOKUP(C43,'Setup - Mix Design'!$A$5:$I$304,5,0)),"")</f>
        <v/>
      </c>
      <c r="J43" s="23">
        <f>IFERROR(IF(OR(C43="",D43=""),"",D43*VLOOKUP(C43,'Setup - Mix Design'!$A$5:$I$304,6,0)),"")</f>
        <v/>
      </c>
      <c r="K43" s="23">
        <f>IFERROR(IF(OR(C43="",D43=""),"",D43*VLOOKUP(C43,'Setup - Mix Design'!$A$5:$I$304,7,0)),"")</f>
        <v/>
      </c>
    </row>
    <row r="44">
      <c r="A44" s="26" t="n"/>
      <c r="B44" s="21" t="n"/>
      <c r="C44" s="21" t="n"/>
      <c r="D44" s="22" t="n"/>
      <c r="E44" s="21" t="n"/>
      <c r="F44" s="23">
        <f>IFERROR(IF(OR(C44="",D44=""),"",D44*VLOOKUP(C44,'Setup - Mix Design'!$A$5:$I$304,2,0)),"")</f>
        <v/>
      </c>
      <c r="G44" s="23">
        <f>IFERROR(IF(OR(C44="",D44=""),"",D44*VLOOKUP(C44,'Setup - Mix Design'!$A$5:$I$304,3,0)),"")</f>
        <v/>
      </c>
      <c r="H44" s="23">
        <f>IFERROR(IF(OR(C44="",D44=""),"",D44*VLOOKUP(C44,'Setup - Mix Design'!$A$5:$I$304,4,0)),"")</f>
        <v/>
      </c>
      <c r="I44" s="23">
        <f>IFERROR(IF(OR(C44="",D44=""),"",D44*VLOOKUP(C44,'Setup - Mix Design'!$A$5:$I$304,5,0)),"")</f>
        <v/>
      </c>
      <c r="J44" s="23">
        <f>IFERROR(IF(OR(C44="",D44=""),"",D44*VLOOKUP(C44,'Setup - Mix Design'!$A$5:$I$304,6,0)),"")</f>
        <v/>
      </c>
      <c r="K44" s="23">
        <f>IFERROR(IF(OR(C44="",D44=""),"",D44*VLOOKUP(C44,'Setup - Mix Design'!$A$5:$I$304,7,0)),"")</f>
        <v/>
      </c>
    </row>
    <row r="45">
      <c r="A45" s="26" t="n"/>
      <c r="B45" s="21" t="n"/>
      <c r="C45" s="21" t="n"/>
      <c r="D45" s="22" t="n"/>
      <c r="E45" s="21" t="n"/>
      <c r="F45" s="23">
        <f>IFERROR(IF(OR(C45="",D45=""),"",D45*VLOOKUP(C45,'Setup - Mix Design'!$A$5:$I$304,2,0)),"")</f>
        <v/>
      </c>
      <c r="G45" s="23">
        <f>IFERROR(IF(OR(C45="",D45=""),"",D45*VLOOKUP(C45,'Setup - Mix Design'!$A$5:$I$304,3,0)),"")</f>
        <v/>
      </c>
      <c r="H45" s="23">
        <f>IFERROR(IF(OR(C45="",D45=""),"",D45*VLOOKUP(C45,'Setup - Mix Design'!$A$5:$I$304,4,0)),"")</f>
        <v/>
      </c>
      <c r="I45" s="23">
        <f>IFERROR(IF(OR(C45="",D45=""),"",D45*VLOOKUP(C45,'Setup - Mix Design'!$A$5:$I$304,5,0)),"")</f>
        <v/>
      </c>
      <c r="J45" s="23">
        <f>IFERROR(IF(OR(C45="",D45=""),"",D45*VLOOKUP(C45,'Setup - Mix Design'!$A$5:$I$304,6,0)),"")</f>
        <v/>
      </c>
      <c r="K45" s="23">
        <f>IFERROR(IF(OR(C45="",D45=""),"",D45*VLOOKUP(C45,'Setup - Mix Design'!$A$5:$I$304,7,0)),"")</f>
        <v/>
      </c>
    </row>
    <row r="46">
      <c r="A46" s="26" t="n"/>
      <c r="B46" s="21" t="n"/>
      <c r="C46" s="21" t="n"/>
      <c r="D46" s="22" t="n"/>
      <c r="E46" s="21" t="n"/>
      <c r="F46" s="23">
        <f>IFERROR(IF(OR(C46="",D46=""),"",D46*VLOOKUP(C46,'Setup - Mix Design'!$A$5:$I$304,2,0)),"")</f>
        <v/>
      </c>
      <c r="G46" s="23">
        <f>IFERROR(IF(OR(C46="",D46=""),"",D46*VLOOKUP(C46,'Setup - Mix Design'!$A$5:$I$304,3,0)),"")</f>
        <v/>
      </c>
      <c r="H46" s="23">
        <f>IFERROR(IF(OR(C46="",D46=""),"",D46*VLOOKUP(C46,'Setup - Mix Design'!$A$5:$I$304,4,0)),"")</f>
        <v/>
      </c>
      <c r="I46" s="23">
        <f>IFERROR(IF(OR(C46="",D46=""),"",D46*VLOOKUP(C46,'Setup - Mix Design'!$A$5:$I$304,5,0)),"")</f>
        <v/>
      </c>
      <c r="J46" s="23">
        <f>IFERROR(IF(OR(C46="",D46=""),"",D46*VLOOKUP(C46,'Setup - Mix Design'!$A$5:$I$304,6,0)),"")</f>
        <v/>
      </c>
      <c r="K46" s="23">
        <f>IFERROR(IF(OR(C46="",D46=""),"",D46*VLOOKUP(C46,'Setup - Mix Design'!$A$5:$I$304,7,0)),"")</f>
        <v/>
      </c>
    </row>
    <row r="47">
      <c r="A47" s="26" t="n"/>
      <c r="B47" s="21" t="n"/>
      <c r="C47" s="21" t="n"/>
      <c r="D47" s="22" t="n"/>
      <c r="E47" s="21" t="n"/>
      <c r="F47" s="23">
        <f>IFERROR(IF(OR(C47="",D47=""),"",D47*VLOOKUP(C47,'Setup - Mix Design'!$A$5:$I$304,2,0)),"")</f>
        <v/>
      </c>
      <c r="G47" s="23">
        <f>IFERROR(IF(OR(C47="",D47=""),"",D47*VLOOKUP(C47,'Setup - Mix Design'!$A$5:$I$304,3,0)),"")</f>
        <v/>
      </c>
      <c r="H47" s="23">
        <f>IFERROR(IF(OR(C47="",D47=""),"",D47*VLOOKUP(C47,'Setup - Mix Design'!$A$5:$I$304,4,0)),"")</f>
        <v/>
      </c>
      <c r="I47" s="23">
        <f>IFERROR(IF(OR(C47="",D47=""),"",D47*VLOOKUP(C47,'Setup - Mix Design'!$A$5:$I$304,5,0)),"")</f>
        <v/>
      </c>
      <c r="J47" s="23">
        <f>IFERROR(IF(OR(C47="",D47=""),"",D47*VLOOKUP(C47,'Setup - Mix Design'!$A$5:$I$304,6,0)),"")</f>
        <v/>
      </c>
      <c r="K47" s="23">
        <f>IFERROR(IF(OR(C47="",D47=""),"",D47*VLOOKUP(C47,'Setup - Mix Design'!$A$5:$I$304,7,0)),"")</f>
        <v/>
      </c>
    </row>
    <row r="48">
      <c r="A48" s="26" t="n"/>
      <c r="B48" s="21" t="n"/>
      <c r="C48" s="21" t="n"/>
      <c r="D48" s="22" t="n"/>
      <c r="E48" s="21" t="n"/>
      <c r="F48" s="23">
        <f>IFERROR(IF(OR(C48="",D48=""),"",D48*VLOOKUP(C48,'Setup - Mix Design'!$A$5:$I$304,2,0)),"")</f>
        <v/>
      </c>
      <c r="G48" s="23">
        <f>IFERROR(IF(OR(C48="",D48=""),"",D48*VLOOKUP(C48,'Setup - Mix Design'!$A$5:$I$304,3,0)),"")</f>
        <v/>
      </c>
      <c r="H48" s="23">
        <f>IFERROR(IF(OR(C48="",D48=""),"",D48*VLOOKUP(C48,'Setup - Mix Design'!$A$5:$I$304,4,0)),"")</f>
        <v/>
      </c>
      <c r="I48" s="23">
        <f>IFERROR(IF(OR(C48="",D48=""),"",D48*VLOOKUP(C48,'Setup - Mix Design'!$A$5:$I$304,5,0)),"")</f>
        <v/>
      </c>
      <c r="J48" s="23">
        <f>IFERROR(IF(OR(C48="",D48=""),"",D48*VLOOKUP(C48,'Setup - Mix Design'!$A$5:$I$304,6,0)),"")</f>
        <v/>
      </c>
      <c r="K48" s="23">
        <f>IFERROR(IF(OR(C48="",D48=""),"",D48*VLOOKUP(C48,'Setup - Mix Design'!$A$5:$I$304,7,0)),"")</f>
        <v/>
      </c>
    </row>
    <row r="49">
      <c r="A49" s="26" t="n"/>
      <c r="B49" s="21" t="n"/>
      <c r="C49" s="21" t="n"/>
      <c r="D49" s="22" t="n"/>
      <c r="E49" s="21" t="n"/>
      <c r="F49" s="23">
        <f>IFERROR(IF(OR(C49="",D49=""),"",D49*VLOOKUP(C49,'Setup - Mix Design'!$A$5:$I$304,2,0)),"")</f>
        <v/>
      </c>
      <c r="G49" s="23">
        <f>IFERROR(IF(OR(C49="",D49=""),"",D49*VLOOKUP(C49,'Setup - Mix Design'!$A$5:$I$304,3,0)),"")</f>
        <v/>
      </c>
      <c r="H49" s="23">
        <f>IFERROR(IF(OR(C49="",D49=""),"",D49*VLOOKUP(C49,'Setup - Mix Design'!$A$5:$I$304,4,0)),"")</f>
        <v/>
      </c>
      <c r="I49" s="23">
        <f>IFERROR(IF(OR(C49="",D49=""),"",D49*VLOOKUP(C49,'Setup - Mix Design'!$A$5:$I$304,5,0)),"")</f>
        <v/>
      </c>
      <c r="J49" s="23">
        <f>IFERROR(IF(OR(C49="",D49=""),"",D49*VLOOKUP(C49,'Setup - Mix Design'!$A$5:$I$304,6,0)),"")</f>
        <v/>
      </c>
      <c r="K49" s="23">
        <f>IFERROR(IF(OR(C49="",D49=""),"",D49*VLOOKUP(C49,'Setup - Mix Design'!$A$5:$I$304,7,0)),"")</f>
        <v/>
      </c>
    </row>
    <row r="50">
      <c r="A50" s="26" t="n"/>
      <c r="B50" s="21" t="n"/>
      <c r="C50" s="21" t="n"/>
      <c r="D50" s="22" t="n"/>
      <c r="E50" s="21" t="n"/>
      <c r="F50" s="23">
        <f>IFERROR(IF(OR(C50="",D50=""),"",D50*VLOOKUP(C50,'Setup - Mix Design'!$A$5:$I$304,2,0)),"")</f>
        <v/>
      </c>
      <c r="G50" s="23">
        <f>IFERROR(IF(OR(C50="",D50=""),"",D50*VLOOKUP(C50,'Setup - Mix Design'!$A$5:$I$304,3,0)),"")</f>
        <v/>
      </c>
      <c r="H50" s="23">
        <f>IFERROR(IF(OR(C50="",D50=""),"",D50*VLOOKUP(C50,'Setup - Mix Design'!$A$5:$I$304,4,0)),"")</f>
        <v/>
      </c>
      <c r="I50" s="23">
        <f>IFERROR(IF(OR(C50="",D50=""),"",D50*VLOOKUP(C50,'Setup - Mix Design'!$A$5:$I$304,5,0)),"")</f>
        <v/>
      </c>
      <c r="J50" s="23">
        <f>IFERROR(IF(OR(C50="",D50=""),"",D50*VLOOKUP(C50,'Setup - Mix Design'!$A$5:$I$304,6,0)),"")</f>
        <v/>
      </c>
      <c r="K50" s="23">
        <f>IFERROR(IF(OR(C50="",D50=""),"",D50*VLOOKUP(C50,'Setup - Mix Design'!$A$5:$I$304,7,0)),"")</f>
        <v/>
      </c>
    </row>
    <row r="51">
      <c r="A51" s="26" t="n"/>
      <c r="B51" s="21" t="n"/>
      <c r="C51" s="21" t="n"/>
      <c r="D51" s="22" t="n"/>
      <c r="E51" s="21" t="n"/>
      <c r="F51" s="23">
        <f>IFERROR(IF(OR(C51="",D51=""),"",D51*VLOOKUP(C51,'Setup - Mix Design'!$A$5:$I$304,2,0)),"")</f>
        <v/>
      </c>
      <c r="G51" s="23">
        <f>IFERROR(IF(OR(C51="",D51=""),"",D51*VLOOKUP(C51,'Setup - Mix Design'!$A$5:$I$304,3,0)),"")</f>
        <v/>
      </c>
      <c r="H51" s="23">
        <f>IFERROR(IF(OR(C51="",D51=""),"",D51*VLOOKUP(C51,'Setup - Mix Design'!$A$5:$I$304,4,0)),"")</f>
        <v/>
      </c>
      <c r="I51" s="23">
        <f>IFERROR(IF(OR(C51="",D51=""),"",D51*VLOOKUP(C51,'Setup - Mix Design'!$A$5:$I$304,5,0)),"")</f>
        <v/>
      </c>
      <c r="J51" s="23">
        <f>IFERROR(IF(OR(C51="",D51=""),"",D51*VLOOKUP(C51,'Setup - Mix Design'!$A$5:$I$304,6,0)),"")</f>
        <v/>
      </c>
      <c r="K51" s="23">
        <f>IFERROR(IF(OR(C51="",D51=""),"",D51*VLOOKUP(C51,'Setup - Mix Design'!$A$5:$I$304,7,0)),"")</f>
        <v/>
      </c>
    </row>
    <row r="52">
      <c r="A52" s="26" t="n"/>
      <c r="B52" s="21" t="n"/>
      <c r="C52" s="21" t="n"/>
      <c r="D52" s="22" t="n"/>
      <c r="E52" s="21" t="n"/>
      <c r="F52" s="23">
        <f>IFERROR(IF(OR(C52="",D52=""),"",D52*VLOOKUP(C52,'Setup - Mix Design'!$A$5:$I$304,2,0)),"")</f>
        <v/>
      </c>
      <c r="G52" s="23">
        <f>IFERROR(IF(OR(C52="",D52=""),"",D52*VLOOKUP(C52,'Setup - Mix Design'!$A$5:$I$304,3,0)),"")</f>
        <v/>
      </c>
      <c r="H52" s="23">
        <f>IFERROR(IF(OR(C52="",D52=""),"",D52*VLOOKUP(C52,'Setup - Mix Design'!$A$5:$I$304,4,0)),"")</f>
        <v/>
      </c>
      <c r="I52" s="23">
        <f>IFERROR(IF(OR(C52="",D52=""),"",D52*VLOOKUP(C52,'Setup - Mix Design'!$A$5:$I$304,5,0)),"")</f>
        <v/>
      </c>
      <c r="J52" s="23">
        <f>IFERROR(IF(OR(C52="",D52=""),"",D52*VLOOKUP(C52,'Setup - Mix Design'!$A$5:$I$304,6,0)),"")</f>
        <v/>
      </c>
      <c r="K52" s="23">
        <f>IFERROR(IF(OR(C52="",D52=""),"",D52*VLOOKUP(C52,'Setup - Mix Design'!$A$5:$I$304,7,0)),"")</f>
        <v/>
      </c>
    </row>
    <row r="53">
      <c r="A53" s="26" t="n"/>
      <c r="B53" s="21" t="n"/>
      <c r="C53" s="21" t="n"/>
      <c r="D53" s="22" t="n"/>
      <c r="E53" s="21" t="n"/>
      <c r="F53" s="23">
        <f>IFERROR(IF(OR(C53="",D53=""),"",D53*VLOOKUP(C53,'Setup - Mix Design'!$A$5:$I$304,2,0)),"")</f>
        <v/>
      </c>
      <c r="G53" s="23">
        <f>IFERROR(IF(OR(C53="",D53=""),"",D53*VLOOKUP(C53,'Setup - Mix Design'!$A$5:$I$304,3,0)),"")</f>
        <v/>
      </c>
      <c r="H53" s="23">
        <f>IFERROR(IF(OR(C53="",D53=""),"",D53*VLOOKUP(C53,'Setup - Mix Design'!$A$5:$I$304,4,0)),"")</f>
        <v/>
      </c>
      <c r="I53" s="23">
        <f>IFERROR(IF(OR(C53="",D53=""),"",D53*VLOOKUP(C53,'Setup - Mix Design'!$A$5:$I$304,5,0)),"")</f>
        <v/>
      </c>
      <c r="J53" s="23">
        <f>IFERROR(IF(OR(C53="",D53=""),"",D53*VLOOKUP(C53,'Setup - Mix Design'!$A$5:$I$304,6,0)),"")</f>
        <v/>
      </c>
      <c r="K53" s="23">
        <f>IFERROR(IF(OR(C53="",D53=""),"",D53*VLOOKUP(C53,'Setup - Mix Design'!$A$5:$I$304,7,0)),"")</f>
        <v/>
      </c>
    </row>
    <row r="54">
      <c r="A54" s="26" t="n"/>
      <c r="B54" s="21" t="n"/>
      <c r="C54" s="21" t="n"/>
      <c r="D54" s="22" t="n"/>
      <c r="E54" s="21" t="n"/>
      <c r="F54" s="23">
        <f>IFERROR(IF(OR(C54="",D54=""),"",D54*VLOOKUP(C54,'Setup - Mix Design'!$A$5:$I$304,2,0)),"")</f>
        <v/>
      </c>
      <c r="G54" s="23">
        <f>IFERROR(IF(OR(C54="",D54=""),"",D54*VLOOKUP(C54,'Setup - Mix Design'!$A$5:$I$304,3,0)),"")</f>
        <v/>
      </c>
      <c r="H54" s="23">
        <f>IFERROR(IF(OR(C54="",D54=""),"",D54*VLOOKUP(C54,'Setup - Mix Design'!$A$5:$I$304,4,0)),"")</f>
        <v/>
      </c>
      <c r="I54" s="23">
        <f>IFERROR(IF(OR(C54="",D54=""),"",D54*VLOOKUP(C54,'Setup - Mix Design'!$A$5:$I$304,5,0)),"")</f>
        <v/>
      </c>
      <c r="J54" s="23">
        <f>IFERROR(IF(OR(C54="",D54=""),"",D54*VLOOKUP(C54,'Setup - Mix Design'!$A$5:$I$304,6,0)),"")</f>
        <v/>
      </c>
      <c r="K54" s="23">
        <f>IFERROR(IF(OR(C54="",D54=""),"",D54*VLOOKUP(C54,'Setup - Mix Design'!$A$5:$I$304,7,0)),"")</f>
        <v/>
      </c>
    </row>
    <row r="55">
      <c r="A55" s="26" t="n"/>
      <c r="B55" s="21" t="n"/>
      <c r="C55" s="21" t="n"/>
      <c r="D55" s="22" t="n"/>
      <c r="E55" s="21" t="n"/>
      <c r="F55" s="23">
        <f>IFERROR(IF(OR(C55="",D55=""),"",D55*VLOOKUP(C55,'Setup - Mix Design'!$A$5:$I$304,2,0)),"")</f>
        <v/>
      </c>
      <c r="G55" s="23">
        <f>IFERROR(IF(OR(C55="",D55=""),"",D55*VLOOKUP(C55,'Setup - Mix Design'!$A$5:$I$304,3,0)),"")</f>
        <v/>
      </c>
      <c r="H55" s="23">
        <f>IFERROR(IF(OR(C55="",D55=""),"",D55*VLOOKUP(C55,'Setup - Mix Design'!$A$5:$I$304,4,0)),"")</f>
        <v/>
      </c>
      <c r="I55" s="23">
        <f>IFERROR(IF(OR(C55="",D55=""),"",D55*VLOOKUP(C55,'Setup - Mix Design'!$A$5:$I$304,5,0)),"")</f>
        <v/>
      </c>
      <c r="J55" s="23">
        <f>IFERROR(IF(OR(C55="",D55=""),"",D55*VLOOKUP(C55,'Setup - Mix Design'!$A$5:$I$304,6,0)),"")</f>
        <v/>
      </c>
      <c r="K55" s="23">
        <f>IFERROR(IF(OR(C55="",D55=""),"",D55*VLOOKUP(C55,'Setup - Mix Design'!$A$5:$I$304,7,0)),"")</f>
        <v/>
      </c>
    </row>
    <row r="56">
      <c r="A56" s="26" t="n"/>
      <c r="B56" s="21" t="n"/>
      <c r="C56" s="21" t="n"/>
      <c r="D56" s="22" t="n"/>
      <c r="E56" s="21" t="n"/>
      <c r="F56" s="23">
        <f>IFERROR(IF(OR(C56="",D56=""),"",D56*VLOOKUP(C56,'Setup - Mix Design'!$A$5:$I$304,2,0)),"")</f>
        <v/>
      </c>
      <c r="G56" s="23">
        <f>IFERROR(IF(OR(C56="",D56=""),"",D56*VLOOKUP(C56,'Setup - Mix Design'!$A$5:$I$304,3,0)),"")</f>
        <v/>
      </c>
      <c r="H56" s="23">
        <f>IFERROR(IF(OR(C56="",D56=""),"",D56*VLOOKUP(C56,'Setup - Mix Design'!$A$5:$I$304,4,0)),"")</f>
        <v/>
      </c>
      <c r="I56" s="23">
        <f>IFERROR(IF(OR(C56="",D56=""),"",D56*VLOOKUP(C56,'Setup - Mix Design'!$A$5:$I$304,5,0)),"")</f>
        <v/>
      </c>
      <c r="J56" s="23">
        <f>IFERROR(IF(OR(C56="",D56=""),"",D56*VLOOKUP(C56,'Setup - Mix Design'!$A$5:$I$304,6,0)),"")</f>
        <v/>
      </c>
      <c r="K56" s="23">
        <f>IFERROR(IF(OR(C56="",D56=""),"",D56*VLOOKUP(C56,'Setup - Mix Design'!$A$5:$I$304,7,0)),"")</f>
        <v/>
      </c>
    </row>
    <row r="57">
      <c r="A57" s="26" t="n"/>
      <c r="B57" s="21" t="n"/>
      <c r="C57" s="21" t="n"/>
      <c r="D57" s="22" t="n"/>
      <c r="E57" s="21" t="n"/>
      <c r="F57" s="23">
        <f>IFERROR(IF(OR(C57="",D57=""),"",D57*VLOOKUP(C57,'Setup - Mix Design'!$A$5:$I$304,2,0)),"")</f>
        <v/>
      </c>
      <c r="G57" s="23">
        <f>IFERROR(IF(OR(C57="",D57=""),"",D57*VLOOKUP(C57,'Setup - Mix Design'!$A$5:$I$304,3,0)),"")</f>
        <v/>
      </c>
      <c r="H57" s="23">
        <f>IFERROR(IF(OR(C57="",D57=""),"",D57*VLOOKUP(C57,'Setup - Mix Design'!$A$5:$I$304,4,0)),"")</f>
        <v/>
      </c>
      <c r="I57" s="23">
        <f>IFERROR(IF(OR(C57="",D57=""),"",D57*VLOOKUP(C57,'Setup - Mix Design'!$A$5:$I$304,5,0)),"")</f>
        <v/>
      </c>
      <c r="J57" s="23">
        <f>IFERROR(IF(OR(C57="",D57=""),"",D57*VLOOKUP(C57,'Setup - Mix Design'!$A$5:$I$304,6,0)),"")</f>
        <v/>
      </c>
      <c r="K57" s="23">
        <f>IFERROR(IF(OR(C57="",D57=""),"",D57*VLOOKUP(C57,'Setup - Mix Design'!$A$5:$I$304,7,0)),"")</f>
        <v/>
      </c>
    </row>
    <row r="58">
      <c r="A58" s="26" t="n"/>
      <c r="B58" s="21" t="n"/>
      <c r="C58" s="21" t="n"/>
      <c r="D58" s="22" t="n"/>
      <c r="E58" s="21" t="n"/>
      <c r="F58" s="23">
        <f>IFERROR(IF(OR(C58="",D58=""),"",D58*VLOOKUP(C58,'Setup - Mix Design'!$A$5:$I$304,2,0)),"")</f>
        <v/>
      </c>
      <c r="G58" s="23">
        <f>IFERROR(IF(OR(C58="",D58=""),"",D58*VLOOKUP(C58,'Setup - Mix Design'!$A$5:$I$304,3,0)),"")</f>
        <v/>
      </c>
      <c r="H58" s="23">
        <f>IFERROR(IF(OR(C58="",D58=""),"",D58*VLOOKUP(C58,'Setup - Mix Design'!$A$5:$I$304,4,0)),"")</f>
        <v/>
      </c>
      <c r="I58" s="23">
        <f>IFERROR(IF(OR(C58="",D58=""),"",D58*VLOOKUP(C58,'Setup - Mix Design'!$A$5:$I$304,5,0)),"")</f>
        <v/>
      </c>
      <c r="J58" s="23">
        <f>IFERROR(IF(OR(C58="",D58=""),"",D58*VLOOKUP(C58,'Setup - Mix Design'!$A$5:$I$304,6,0)),"")</f>
        <v/>
      </c>
      <c r="K58" s="23">
        <f>IFERROR(IF(OR(C58="",D58=""),"",D58*VLOOKUP(C58,'Setup - Mix Design'!$A$5:$I$304,7,0)),"")</f>
        <v/>
      </c>
    </row>
    <row r="59">
      <c r="A59" s="26" t="n"/>
      <c r="B59" s="21" t="n"/>
      <c r="C59" s="21" t="n"/>
      <c r="D59" s="22" t="n"/>
      <c r="E59" s="21" t="n"/>
      <c r="F59" s="23">
        <f>IFERROR(IF(OR(C59="",D59=""),"",D59*VLOOKUP(C59,'Setup - Mix Design'!$A$5:$I$304,2,0)),"")</f>
        <v/>
      </c>
      <c r="G59" s="23">
        <f>IFERROR(IF(OR(C59="",D59=""),"",D59*VLOOKUP(C59,'Setup - Mix Design'!$A$5:$I$304,3,0)),"")</f>
        <v/>
      </c>
      <c r="H59" s="23">
        <f>IFERROR(IF(OR(C59="",D59=""),"",D59*VLOOKUP(C59,'Setup - Mix Design'!$A$5:$I$304,4,0)),"")</f>
        <v/>
      </c>
      <c r="I59" s="23">
        <f>IFERROR(IF(OR(C59="",D59=""),"",D59*VLOOKUP(C59,'Setup - Mix Design'!$A$5:$I$304,5,0)),"")</f>
        <v/>
      </c>
      <c r="J59" s="23">
        <f>IFERROR(IF(OR(C59="",D59=""),"",D59*VLOOKUP(C59,'Setup - Mix Design'!$A$5:$I$304,6,0)),"")</f>
        <v/>
      </c>
      <c r="K59" s="23">
        <f>IFERROR(IF(OR(C59="",D59=""),"",D59*VLOOKUP(C59,'Setup - Mix Design'!$A$5:$I$304,7,0)),"")</f>
        <v/>
      </c>
    </row>
    <row r="60">
      <c r="A60" s="26" t="n"/>
      <c r="B60" s="21" t="n"/>
      <c r="C60" s="21" t="n"/>
      <c r="D60" s="22" t="n"/>
      <c r="E60" s="21" t="n"/>
      <c r="F60" s="23">
        <f>IFERROR(IF(OR(C60="",D60=""),"",D60*VLOOKUP(C60,'Setup - Mix Design'!$A$5:$I$304,2,0)),"")</f>
        <v/>
      </c>
      <c r="G60" s="23">
        <f>IFERROR(IF(OR(C60="",D60=""),"",D60*VLOOKUP(C60,'Setup - Mix Design'!$A$5:$I$304,3,0)),"")</f>
        <v/>
      </c>
      <c r="H60" s="23">
        <f>IFERROR(IF(OR(C60="",D60=""),"",D60*VLOOKUP(C60,'Setup - Mix Design'!$A$5:$I$304,4,0)),"")</f>
        <v/>
      </c>
      <c r="I60" s="23">
        <f>IFERROR(IF(OR(C60="",D60=""),"",D60*VLOOKUP(C60,'Setup - Mix Design'!$A$5:$I$304,5,0)),"")</f>
        <v/>
      </c>
      <c r="J60" s="23">
        <f>IFERROR(IF(OR(C60="",D60=""),"",D60*VLOOKUP(C60,'Setup - Mix Design'!$A$5:$I$304,6,0)),"")</f>
        <v/>
      </c>
      <c r="K60" s="23">
        <f>IFERROR(IF(OR(C60="",D60=""),"",D60*VLOOKUP(C60,'Setup - Mix Design'!$A$5:$I$304,7,0)),"")</f>
        <v/>
      </c>
    </row>
    <row r="61">
      <c r="A61" s="26" t="n"/>
      <c r="B61" s="21" t="n"/>
      <c r="C61" s="21" t="n"/>
      <c r="D61" s="22" t="n"/>
      <c r="E61" s="21" t="n"/>
      <c r="F61" s="23">
        <f>IFERROR(IF(OR(C61="",D61=""),"",D61*VLOOKUP(C61,'Setup - Mix Design'!$A$5:$I$304,2,0)),"")</f>
        <v/>
      </c>
      <c r="G61" s="23">
        <f>IFERROR(IF(OR(C61="",D61=""),"",D61*VLOOKUP(C61,'Setup - Mix Design'!$A$5:$I$304,3,0)),"")</f>
        <v/>
      </c>
      <c r="H61" s="23">
        <f>IFERROR(IF(OR(C61="",D61=""),"",D61*VLOOKUP(C61,'Setup - Mix Design'!$A$5:$I$304,4,0)),"")</f>
        <v/>
      </c>
      <c r="I61" s="23">
        <f>IFERROR(IF(OR(C61="",D61=""),"",D61*VLOOKUP(C61,'Setup - Mix Design'!$A$5:$I$304,5,0)),"")</f>
        <v/>
      </c>
      <c r="J61" s="23">
        <f>IFERROR(IF(OR(C61="",D61=""),"",D61*VLOOKUP(C61,'Setup - Mix Design'!$A$5:$I$304,6,0)),"")</f>
        <v/>
      </c>
      <c r="K61" s="23">
        <f>IFERROR(IF(OR(C61="",D61=""),"",D61*VLOOKUP(C61,'Setup - Mix Design'!$A$5:$I$304,7,0)),"")</f>
        <v/>
      </c>
    </row>
    <row r="62">
      <c r="A62" s="26" t="n"/>
      <c r="B62" s="21" t="n"/>
      <c r="C62" s="21" t="n"/>
      <c r="D62" s="22" t="n"/>
      <c r="E62" s="21" t="n"/>
      <c r="F62" s="23">
        <f>IFERROR(IF(OR(C62="",D62=""),"",D62*VLOOKUP(C62,'Setup - Mix Design'!$A$5:$I$304,2,0)),"")</f>
        <v/>
      </c>
      <c r="G62" s="23">
        <f>IFERROR(IF(OR(C62="",D62=""),"",D62*VLOOKUP(C62,'Setup - Mix Design'!$A$5:$I$304,3,0)),"")</f>
        <v/>
      </c>
      <c r="H62" s="23">
        <f>IFERROR(IF(OR(C62="",D62=""),"",D62*VLOOKUP(C62,'Setup - Mix Design'!$A$5:$I$304,4,0)),"")</f>
        <v/>
      </c>
      <c r="I62" s="23">
        <f>IFERROR(IF(OR(C62="",D62=""),"",D62*VLOOKUP(C62,'Setup - Mix Design'!$A$5:$I$304,5,0)),"")</f>
        <v/>
      </c>
      <c r="J62" s="23">
        <f>IFERROR(IF(OR(C62="",D62=""),"",D62*VLOOKUP(C62,'Setup - Mix Design'!$A$5:$I$304,6,0)),"")</f>
        <v/>
      </c>
      <c r="K62" s="23">
        <f>IFERROR(IF(OR(C62="",D62=""),"",D62*VLOOKUP(C62,'Setup - Mix Design'!$A$5:$I$304,7,0)),"")</f>
        <v/>
      </c>
    </row>
    <row r="63">
      <c r="A63" s="26" t="n"/>
      <c r="B63" s="21" t="n"/>
      <c r="C63" s="21" t="n"/>
      <c r="D63" s="22" t="n"/>
      <c r="E63" s="21" t="n"/>
      <c r="F63" s="23">
        <f>IFERROR(IF(OR(C63="",D63=""),"",D63*VLOOKUP(C63,'Setup - Mix Design'!$A$5:$I$304,2,0)),"")</f>
        <v/>
      </c>
      <c r="G63" s="23">
        <f>IFERROR(IF(OR(C63="",D63=""),"",D63*VLOOKUP(C63,'Setup - Mix Design'!$A$5:$I$304,3,0)),"")</f>
        <v/>
      </c>
      <c r="H63" s="23">
        <f>IFERROR(IF(OR(C63="",D63=""),"",D63*VLOOKUP(C63,'Setup - Mix Design'!$A$5:$I$304,4,0)),"")</f>
        <v/>
      </c>
      <c r="I63" s="23">
        <f>IFERROR(IF(OR(C63="",D63=""),"",D63*VLOOKUP(C63,'Setup - Mix Design'!$A$5:$I$304,5,0)),"")</f>
        <v/>
      </c>
      <c r="J63" s="23">
        <f>IFERROR(IF(OR(C63="",D63=""),"",D63*VLOOKUP(C63,'Setup - Mix Design'!$A$5:$I$304,6,0)),"")</f>
        <v/>
      </c>
      <c r="K63" s="23">
        <f>IFERROR(IF(OR(C63="",D63=""),"",D63*VLOOKUP(C63,'Setup - Mix Design'!$A$5:$I$304,7,0)),"")</f>
        <v/>
      </c>
    </row>
    <row r="64">
      <c r="A64" s="26" t="n"/>
      <c r="B64" s="21" t="n"/>
      <c r="C64" s="21" t="n"/>
      <c r="D64" s="22" t="n"/>
      <c r="E64" s="21" t="n"/>
      <c r="F64" s="23">
        <f>IFERROR(IF(OR(C64="",D64=""),"",D64*VLOOKUP(C64,'Setup - Mix Design'!$A$5:$I$304,2,0)),"")</f>
        <v/>
      </c>
      <c r="G64" s="23">
        <f>IFERROR(IF(OR(C64="",D64=""),"",D64*VLOOKUP(C64,'Setup - Mix Design'!$A$5:$I$304,3,0)),"")</f>
        <v/>
      </c>
      <c r="H64" s="23">
        <f>IFERROR(IF(OR(C64="",D64=""),"",D64*VLOOKUP(C64,'Setup - Mix Design'!$A$5:$I$304,4,0)),"")</f>
        <v/>
      </c>
      <c r="I64" s="23">
        <f>IFERROR(IF(OR(C64="",D64=""),"",D64*VLOOKUP(C64,'Setup - Mix Design'!$A$5:$I$304,5,0)),"")</f>
        <v/>
      </c>
      <c r="J64" s="23">
        <f>IFERROR(IF(OR(C64="",D64=""),"",D64*VLOOKUP(C64,'Setup - Mix Design'!$A$5:$I$304,6,0)),"")</f>
        <v/>
      </c>
      <c r="K64" s="23">
        <f>IFERROR(IF(OR(C64="",D64=""),"",D64*VLOOKUP(C64,'Setup - Mix Design'!$A$5:$I$304,7,0)),"")</f>
        <v/>
      </c>
    </row>
    <row r="65">
      <c r="A65" s="26" t="n"/>
      <c r="B65" s="21" t="n"/>
      <c r="C65" s="21" t="n"/>
      <c r="D65" s="22" t="n"/>
      <c r="E65" s="21" t="n"/>
      <c r="F65" s="23">
        <f>IFERROR(IF(OR(C65="",D65=""),"",D65*VLOOKUP(C65,'Setup - Mix Design'!$A$5:$I$304,2,0)),"")</f>
        <v/>
      </c>
      <c r="G65" s="23">
        <f>IFERROR(IF(OR(C65="",D65=""),"",D65*VLOOKUP(C65,'Setup - Mix Design'!$A$5:$I$304,3,0)),"")</f>
        <v/>
      </c>
      <c r="H65" s="23">
        <f>IFERROR(IF(OR(C65="",D65=""),"",D65*VLOOKUP(C65,'Setup - Mix Design'!$A$5:$I$304,4,0)),"")</f>
        <v/>
      </c>
      <c r="I65" s="23">
        <f>IFERROR(IF(OR(C65="",D65=""),"",D65*VLOOKUP(C65,'Setup - Mix Design'!$A$5:$I$304,5,0)),"")</f>
        <v/>
      </c>
      <c r="J65" s="23">
        <f>IFERROR(IF(OR(C65="",D65=""),"",D65*VLOOKUP(C65,'Setup - Mix Design'!$A$5:$I$304,6,0)),"")</f>
        <v/>
      </c>
      <c r="K65" s="23">
        <f>IFERROR(IF(OR(C65="",D65=""),"",D65*VLOOKUP(C65,'Setup - Mix Design'!$A$5:$I$304,7,0)),"")</f>
        <v/>
      </c>
    </row>
    <row r="66">
      <c r="A66" s="26" t="n"/>
      <c r="B66" s="21" t="n"/>
      <c r="C66" s="21" t="n"/>
      <c r="D66" s="22" t="n"/>
      <c r="E66" s="21" t="n"/>
      <c r="F66" s="23">
        <f>IFERROR(IF(OR(C66="",D66=""),"",D66*VLOOKUP(C66,'Setup - Mix Design'!$A$5:$I$304,2,0)),"")</f>
        <v/>
      </c>
      <c r="G66" s="23">
        <f>IFERROR(IF(OR(C66="",D66=""),"",D66*VLOOKUP(C66,'Setup - Mix Design'!$A$5:$I$304,3,0)),"")</f>
        <v/>
      </c>
      <c r="H66" s="23">
        <f>IFERROR(IF(OR(C66="",D66=""),"",D66*VLOOKUP(C66,'Setup - Mix Design'!$A$5:$I$304,4,0)),"")</f>
        <v/>
      </c>
      <c r="I66" s="23">
        <f>IFERROR(IF(OR(C66="",D66=""),"",D66*VLOOKUP(C66,'Setup - Mix Design'!$A$5:$I$304,5,0)),"")</f>
        <v/>
      </c>
      <c r="J66" s="23">
        <f>IFERROR(IF(OR(C66="",D66=""),"",D66*VLOOKUP(C66,'Setup - Mix Design'!$A$5:$I$304,6,0)),"")</f>
        <v/>
      </c>
      <c r="K66" s="23">
        <f>IFERROR(IF(OR(C66="",D66=""),"",D66*VLOOKUP(C66,'Setup - Mix Design'!$A$5:$I$304,7,0)),"")</f>
        <v/>
      </c>
    </row>
    <row r="67">
      <c r="A67" s="26" t="n"/>
      <c r="B67" s="21" t="n"/>
      <c r="C67" s="21" t="n"/>
      <c r="D67" s="22" t="n"/>
      <c r="E67" s="21" t="n"/>
      <c r="F67" s="23">
        <f>IFERROR(IF(OR(C67="",D67=""),"",D67*VLOOKUP(C67,'Setup - Mix Design'!$A$5:$I$304,2,0)),"")</f>
        <v/>
      </c>
      <c r="G67" s="23">
        <f>IFERROR(IF(OR(C67="",D67=""),"",D67*VLOOKUP(C67,'Setup - Mix Design'!$A$5:$I$304,3,0)),"")</f>
        <v/>
      </c>
      <c r="H67" s="23">
        <f>IFERROR(IF(OR(C67="",D67=""),"",D67*VLOOKUP(C67,'Setup - Mix Design'!$A$5:$I$304,4,0)),"")</f>
        <v/>
      </c>
      <c r="I67" s="23">
        <f>IFERROR(IF(OR(C67="",D67=""),"",D67*VLOOKUP(C67,'Setup - Mix Design'!$A$5:$I$304,5,0)),"")</f>
        <v/>
      </c>
      <c r="J67" s="23">
        <f>IFERROR(IF(OR(C67="",D67=""),"",D67*VLOOKUP(C67,'Setup - Mix Design'!$A$5:$I$304,6,0)),"")</f>
        <v/>
      </c>
      <c r="K67" s="23">
        <f>IFERROR(IF(OR(C67="",D67=""),"",D67*VLOOKUP(C67,'Setup - Mix Design'!$A$5:$I$304,7,0)),"")</f>
        <v/>
      </c>
    </row>
    <row r="68">
      <c r="A68" s="26" t="n"/>
      <c r="B68" s="21" t="n"/>
      <c r="C68" s="21" t="n"/>
      <c r="D68" s="22" t="n"/>
      <c r="E68" s="21" t="n"/>
      <c r="F68" s="23">
        <f>IFERROR(IF(OR(C68="",D68=""),"",D68*VLOOKUP(C68,'Setup - Mix Design'!$A$5:$I$304,2,0)),"")</f>
        <v/>
      </c>
      <c r="G68" s="23">
        <f>IFERROR(IF(OR(C68="",D68=""),"",D68*VLOOKUP(C68,'Setup - Mix Design'!$A$5:$I$304,3,0)),"")</f>
        <v/>
      </c>
      <c r="H68" s="23">
        <f>IFERROR(IF(OR(C68="",D68=""),"",D68*VLOOKUP(C68,'Setup - Mix Design'!$A$5:$I$304,4,0)),"")</f>
        <v/>
      </c>
      <c r="I68" s="23">
        <f>IFERROR(IF(OR(C68="",D68=""),"",D68*VLOOKUP(C68,'Setup - Mix Design'!$A$5:$I$304,5,0)),"")</f>
        <v/>
      </c>
      <c r="J68" s="23">
        <f>IFERROR(IF(OR(C68="",D68=""),"",D68*VLOOKUP(C68,'Setup - Mix Design'!$A$5:$I$304,6,0)),"")</f>
        <v/>
      </c>
      <c r="K68" s="23">
        <f>IFERROR(IF(OR(C68="",D68=""),"",D68*VLOOKUP(C68,'Setup - Mix Design'!$A$5:$I$304,7,0)),"")</f>
        <v/>
      </c>
    </row>
    <row r="69">
      <c r="A69" s="26" t="n"/>
      <c r="B69" s="21" t="n"/>
      <c r="C69" s="21" t="n"/>
      <c r="D69" s="22" t="n"/>
      <c r="E69" s="21" t="n"/>
      <c r="F69" s="23">
        <f>IFERROR(IF(OR(C69="",D69=""),"",D69*VLOOKUP(C69,'Setup - Mix Design'!$A$5:$I$304,2,0)),"")</f>
        <v/>
      </c>
      <c r="G69" s="23">
        <f>IFERROR(IF(OR(C69="",D69=""),"",D69*VLOOKUP(C69,'Setup - Mix Design'!$A$5:$I$304,3,0)),"")</f>
        <v/>
      </c>
      <c r="H69" s="23">
        <f>IFERROR(IF(OR(C69="",D69=""),"",D69*VLOOKUP(C69,'Setup - Mix Design'!$A$5:$I$304,4,0)),"")</f>
        <v/>
      </c>
      <c r="I69" s="23">
        <f>IFERROR(IF(OR(C69="",D69=""),"",D69*VLOOKUP(C69,'Setup - Mix Design'!$A$5:$I$304,5,0)),"")</f>
        <v/>
      </c>
      <c r="J69" s="23">
        <f>IFERROR(IF(OR(C69="",D69=""),"",D69*VLOOKUP(C69,'Setup - Mix Design'!$A$5:$I$304,6,0)),"")</f>
        <v/>
      </c>
      <c r="K69" s="23">
        <f>IFERROR(IF(OR(C69="",D69=""),"",D69*VLOOKUP(C69,'Setup - Mix Design'!$A$5:$I$304,7,0)),"")</f>
        <v/>
      </c>
    </row>
    <row r="70">
      <c r="A70" s="26" t="n"/>
      <c r="B70" s="21" t="n"/>
      <c r="C70" s="21" t="n"/>
      <c r="D70" s="22" t="n"/>
      <c r="E70" s="21" t="n"/>
      <c r="F70" s="23">
        <f>IFERROR(IF(OR(C70="",D70=""),"",D70*VLOOKUP(C70,'Setup - Mix Design'!$A$5:$I$304,2,0)),"")</f>
        <v/>
      </c>
      <c r="G70" s="23">
        <f>IFERROR(IF(OR(C70="",D70=""),"",D70*VLOOKUP(C70,'Setup - Mix Design'!$A$5:$I$304,3,0)),"")</f>
        <v/>
      </c>
      <c r="H70" s="23">
        <f>IFERROR(IF(OR(C70="",D70=""),"",D70*VLOOKUP(C70,'Setup - Mix Design'!$A$5:$I$304,4,0)),"")</f>
        <v/>
      </c>
      <c r="I70" s="23">
        <f>IFERROR(IF(OR(C70="",D70=""),"",D70*VLOOKUP(C70,'Setup - Mix Design'!$A$5:$I$304,5,0)),"")</f>
        <v/>
      </c>
      <c r="J70" s="23">
        <f>IFERROR(IF(OR(C70="",D70=""),"",D70*VLOOKUP(C70,'Setup - Mix Design'!$A$5:$I$304,6,0)),"")</f>
        <v/>
      </c>
      <c r="K70" s="23">
        <f>IFERROR(IF(OR(C70="",D70=""),"",D70*VLOOKUP(C70,'Setup - Mix Design'!$A$5:$I$304,7,0)),"")</f>
        <v/>
      </c>
    </row>
    <row r="71">
      <c r="A71" s="26" t="n"/>
      <c r="B71" s="21" t="n"/>
      <c r="C71" s="21" t="n"/>
      <c r="D71" s="22" t="n"/>
      <c r="E71" s="21" t="n"/>
      <c r="F71" s="23">
        <f>IFERROR(IF(OR(C71="",D71=""),"",D71*VLOOKUP(C71,'Setup - Mix Design'!$A$5:$I$304,2,0)),"")</f>
        <v/>
      </c>
      <c r="G71" s="23">
        <f>IFERROR(IF(OR(C71="",D71=""),"",D71*VLOOKUP(C71,'Setup - Mix Design'!$A$5:$I$304,3,0)),"")</f>
        <v/>
      </c>
      <c r="H71" s="23">
        <f>IFERROR(IF(OR(C71="",D71=""),"",D71*VLOOKUP(C71,'Setup - Mix Design'!$A$5:$I$304,4,0)),"")</f>
        <v/>
      </c>
      <c r="I71" s="23">
        <f>IFERROR(IF(OR(C71="",D71=""),"",D71*VLOOKUP(C71,'Setup - Mix Design'!$A$5:$I$304,5,0)),"")</f>
        <v/>
      </c>
      <c r="J71" s="23">
        <f>IFERROR(IF(OR(C71="",D71=""),"",D71*VLOOKUP(C71,'Setup - Mix Design'!$A$5:$I$304,6,0)),"")</f>
        <v/>
      </c>
      <c r="K71" s="23">
        <f>IFERROR(IF(OR(C71="",D71=""),"",D71*VLOOKUP(C71,'Setup - Mix Design'!$A$5:$I$304,7,0)),"")</f>
        <v/>
      </c>
    </row>
    <row r="72">
      <c r="A72" s="26" t="n"/>
      <c r="B72" s="21" t="n"/>
      <c r="C72" s="21" t="n"/>
      <c r="D72" s="22" t="n"/>
      <c r="E72" s="21" t="n"/>
      <c r="F72" s="23">
        <f>IFERROR(IF(OR(C72="",D72=""),"",D72*VLOOKUP(C72,'Setup - Mix Design'!$A$5:$I$304,2,0)),"")</f>
        <v/>
      </c>
      <c r="G72" s="23">
        <f>IFERROR(IF(OR(C72="",D72=""),"",D72*VLOOKUP(C72,'Setup - Mix Design'!$A$5:$I$304,3,0)),"")</f>
        <v/>
      </c>
      <c r="H72" s="23">
        <f>IFERROR(IF(OR(C72="",D72=""),"",D72*VLOOKUP(C72,'Setup - Mix Design'!$A$5:$I$304,4,0)),"")</f>
        <v/>
      </c>
      <c r="I72" s="23">
        <f>IFERROR(IF(OR(C72="",D72=""),"",D72*VLOOKUP(C72,'Setup - Mix Design'!$A$5:$I$304,5,0)),"")</f>
        <v/>
      </c>
      <c r="J72" s="23">
        <f>IFERROR(IF(OR(C72="",D72=""),"",D72*VLOOKUP(C72,'Setup - Mix Design'!$A$5:$I$304,6,0)),"")</f>
        <v/>
      </c>
      <c r="K72" s="23">
        <f>IFERROR(IF(OR(C72="",D72=""),"",D72*VLOOKUP(C72,'Setup - Mix Design'!$A$5:$I$304,7,0)),"")</f>
        <v/>
      </c>
    </row>
    <row r="73">
      <c r="A73" s="26" t="n"/>
      <c r="B73" s="21" t="n"/>
      <c r="C73" s="21" t="n"/>
      <c r="D73" s="22" t="n"/>
      <c r="E73" s="21" t="n"/>
      <c r="F73" s="23">
        <f>IFERROR(IF(OR(C73="",D73=""),"",D73*VLOOKUP(C73,'Setup - Mix Design'!$A$5:$I$304,2,0)),"")</f>
        <v/>
      </c>
      <c r="G73" s="23">
        <f>IFERROR(IF(OR(C73="",D73=""),"",D73*VLOOKUP(C73,'Setup - Mix Design'!$A$5:$I$304,3,0)),"")</f>
        <v/>
      </c>
      <c r="H73" s="23">
        <f>IFERROR(IF(OR(C73="",D73=""),"",D73*VLOOKUP(C73,'Setup - Mix Design'!$A$5:$I$304,4,0)),"")</f>
        <v/>
      </c>
      <c r="I73" s="23">
        <f>IFERROR(IF(OR(C73="",D73=""),"",D73*VLOOKUP(C73,'Setup - Mix Design'!$A$5:$I$304,5,0)),"")</f>
        <v/>
      </c>
      <c r="J73" s="23">
        <f>IFERROR(IF(OR(C73="",D73=""),"",D73*VLOOKUP(C73,'Setup - Mix Design'!$A$5:$I$304,6,0)),"")</f>
        <v/>
      </c>
      <c r="K73" s="23">
        <f>IFERROR(IF(OR(C73="",D73=""),"",D73*VLOOKUP(C73,'Setup - Mix Design'!$A$5:$I$304,7,0)),"")</f>
        <v/>
      </c>
    </row>
    <row r="74">
      <c r="A74" s="26" t="n"/>
      <c r="B74" s="21" t="n"/>
      <c r="C74" s="21" t="n"/>
      <c r="D74" s="22" t="n"/>
      <c r="E74" s="21" t="n"/>
      <c r="F74" s="23">
        <f>IFERROR(IF(OR(C74="",D74=""),"",D74*VLOOKUP(C74,'Setup - Mix Design'!$A$5:$I$304,2,0)),"")</f>
        <v/>
      </c>
      <c r="G74" s="23">
        <f>IFERROR(IF(OR(C74="",D74=""),"",D74*VLOOKUP(C74,'Setup - Mix Design'!$A$5:$I$304,3,0)),"")</f>
        <v/>
      </c>
      <c r="H74" s="23">
        <f>IFERROR(IF(OR(C74="",D74=""),"",D74*VLOOKUP(C74,'Setup - Mix Design'!$A$5:$I$304,4,0)),"")</f>
        <v/>
      </c>
      <c r="I74" s="23">
        <f>IFERROR(IF(OR(C74="",D74=""),"",D74*VLOOKUP(C74,'Setup - Mix Design'!$A$5:$I$304,5,0)),"")</f>
        <v/>
      </c>
      <c r="J74" s="23">
        <f>IFERROR(IF(OR(C74="",D74=""),"",D74*VLOOKUP(C74,'Setup - Mix Design'!$A$5:$I$304,6,0)),"")</f>
        <v/>
      </c>
      <c r="K74" s="23">
        <f>IFERROR(IF(OR(C74="",D74=""),"",D74*VLOOKUP(C74,'Setup - Mix Design'!$A$5:$I$304,7,0)),"")</f>
        <v/>
      </c>
    </row>
    <row r="75">
      <c r="A75" s="26" t="n"/>
      <c r="B75" s="21" t="n"/>
      <c r="C75" s="21" t="n"/>
      <c r="D75" s="22" t="n"/>
      <c r="E75" s="21" t="n"/>
      <c r="F75" s="23">
        <f>IFERROR(IF(OR(C75="",D75=""),"",D75*VLOOKUP(C75,'Setup - Mix Design'!$A$5:$I$304,2,0)),"")</f>
        <v/>
      </c>
      <c r="G75" s="23">
        <f>IFERROR(IF(OR(C75="",D75=""),"",D75*VLOOKUP(C75,'Setup - Mix Design'!$A$5:$I$304,3,0)),"")</f>
        <v/>
      </c>
      <c r="H75" s="23">
        <f>IFERROR(IF(OR(C75="",D75=""),"",D75*VLOOKUP(C75,'Setup - Mix Design'!$A$5:$I$304,4,0)),"")</f>
        <v/>
      </c>
      <c r="I75" s="23">
        <f>IFERROR(IF(OR(C75="",D75=""),"",D75*VLOOKUP(C75,'Setup - Mix Design'!$A$5:$I$304,5,0)),"")</f>
        <v/>
      </c>
      <c r="J75" s="23">
        <f>IFERROR(IF(OR(C75="",D75=""),"",D75*VLOOKUP(C75,'Setup - Mix Design'!$A$5:$I$304,6,0)),"")</f>
        <v/>
      </c>
      <c r="K75" s="23">
        <f>IFERROR(IF(OR(C75="",D75=""),"",D75*VLOOKUP(C75,'Setup - Mix Design'!$A$5:$I$304,7,0)),"")</f>
        <v/>
      </c>
    </row>
    <row r="76">
      <c r="A76" s="26" t="n"/>
      <c r="B76" s="21" t="n"/>
      <c r="C76" s="21" t="n"/>
      <c r="D76" s="22" t="n"/>
      <c r="E76" s="21" t="n"/>
      <c r="F76" s="23">
        <f>IFERROR(IF(OR(C76="",D76=""),"",D76*VLOOKUP(C76,'Setup - Mix Design'!$A$5:$I$304,2,0)),"")</f>
        <v/>
      </c>
      <c r="G76" s="23">
        <f>IFERROR(IF(OR(C76="",D76=""),"",D76*VLOOKUP(C76,'Setup - Mix Design'!$A$5:$I$304,3,0)),"")</f>
        <v/>
      </c>
      <c r="H76" s="23">
        <f>IFERROR(IF(OR(C76="",D76=""),"",D76*VLOOKUP(C76,'Setup - Mix Design'!$A$5:$I$304,4,0)),"")</f>
        <v/>
      </c>
      <c r="I76" s="23">
        <f>IFERROR(IF(OR(C76="",D76=""),"",D76*VLOOKUP(C76,'Setup - Mix Design'!$A$5:$I$304,5,0)),"")</f>
        <v/>
      </c>
      <c r="J76" s="23">
        <f>IFERROR(IF(OR(C76="",D76=""),"",D76*VLOOKUP(C76,'Setup - Mix Design'!$A$5:$I$304,6,0)),"")</f>
        <v/>
      </c>
      <c r="K76" s="23">
        <f>IFERROR(IF(OR(C76="",D76=""),"",D76*VLOOKUP(C76,'Setup - Mix Design'!$A$5:$I$304,7,0)),"")</f>
        <v/>
      </c>
    </row>
    <row r="77">
      <c r="A77" s="26" t="n"/>
      <c r="B77" s="21" t="n"/>
      <c r="C77" s="21" t="n"/>
      <c r="D77" s="22" t="n"/>
      <c r="E77" s="21" t="n"/>
      <c r="F77" s="23">
        <f>IFERROR(IF(OR(C77="",D77=""),"",D77*VLOOKUP(C77,'Setup - Mix Design'!$A$5:$I$304,2,0)),"")</f>
        <v/>
      </c>
      <c r="G77" s="23">
        <f>IFERROR(IF(OR(C77="",D77=""),"",D77*VLOOKUP(C77,'Setup - Mix Design'!$A$5:$I$304,3,0)),"")</f>
        <v/>
      </c>
      <c r="H77" s="23">
        <f>IFERROR(IF(OR(C77="",D77=""),"",D77*VLOOKUP(C77,'Setup - Mix Design'!$A$5:$I$304,4,0)),"")</f>
        <v/>
      </c>
      <c r="I77" s="23">
        <f>IFERROR(IF(OR(C77="",D77=""),"",D77*VLOOKUP(C77,'Setup - Mix Design'!$A$5:$I$304,5,0)),"")</f>
        <v/>
      </c>
      <c r="J77" s="23">
        <f>IFERROR(IF(OR(C77="",D77=""),"",D77*VLOOKUP(C77,'Setup - Mix Design'!$A$5:$I$304,6,0)),"")</f>
        <v/>
      </c>
      <c r="K77" s="23">
        <f>IFERROR(IF(OR(C77="",D77=""),"",D77*VLOOKUP(C77,'Setup - Mix Design'!$A$5:$I$304,7,0)),"")</f>
        <v/>
      </c>
    </row>
    <row r="78">
      <c r="A78" s="26" t="n"/>
      <c r="B78" s="21" t="n"/>
      <c r="C78" s="21" t="n"/>
      <c r="D78" s="22" t="n"/>
      <c r="E78" s="21" t="n"/>
      <c r="F78" s="23">
        <f>IFERROR(IF(OR(C78="",D78=""),"",D78*VLOOKUP(C78,'Setup - Mix Design'!$A$5:$I$304,2,0)),"")</f>
        <v/>
      </c>
      <c r="G78" s="23">
        <f>IFERROR(IF(OR(C78="",D78=""),"",D78*VLOOKUP(C78,'Setup - Mix Design'!$A$5:$I$304,3,0)),"")</f>
        <v/>
      </c>
      <c r="H78" s="23">
        <f>IFERROR(IF(OR(C78="",D78=""),"",D78*VLOOKUP(C78,'Setup - Mix Design'!$A$5:$I$304,4,0)),"")</f>
        <v/>
      </c>
      <c r="I78" s="23">
        <f>IFERROR(IF(OR(C78="",D78=""),"",D78*VLOOKUP(C78,'Setup - Mix Design'!$A$5:$I$304,5,0)),"")</f>
        <v/>
      </c>
      <c r="J78" s="23">
        <f>IFERROR(IF(OR(C78="",D78=""),"",D78*VLOOKUP(C78,'Setup - Mix Design'!$A$5:$I$304,6,0)),"")</f>
        <v/>
      </c>
      <c r="K78" s="23">
        <f>IFERROR(IF(OR(C78="",D78=""),"",D78*VLOOKUP(C78,'Setup - Mix Design'!$A$5:$I$304,7,0)),"")</f>
        <v/>
      </c>
    </row>
    <row r="79">
      <c r="A79" s="26" t="n"/>
      <c r="B79" s="21" t="n"/>
      <c r="C79" s="21" t="n"/>
      <c r="D79" s="22" t="n"/>
      <c r="E79" s="21" t="n"/>
      <c r="F79" s="23">
        <f>IFERROR(IF(OR(C79="",D79=""),"",D79*VLOOKUP(C79,'Setup - Mix Design'!$A$5:$I$304,2,0)),"")</f>
        <v/>
      </c>
      <c r="G79" s="23">
        <f>IFERROR(IF(OR(C79="",D79=""),"",D79*VLOOKUP(C79,'Setup - Mix Design'!$A$5:$I$304,3,0)),"")</f>
        <v/>
      </c>
      <c r="H79" s="23">
        <f>IFERROR(IF(OR(C79="",D79=""),"",D79*VLOOKUP(C79,'Setup - Mix Design'!$A$5:$I$304,4,0)),"")</f>
        <v/>
      </c>
      <c r="I79" s="23">
        <f>IFERROR(IF(OR(C79="",D79=""),"",D79*VLOOKUP(C79,'Setup - Mix Design'!$A$5:$I$304,5,0)),"")</f>
        <v/>
      </c>
      <c r="J79" s="23">
        <f>IFERROR(IF(OR(C79="",D79=""),"",D79*VLOOKUP(C79,'Setup - Mix Design'!$A$5:$I$304,6,0)),"")</f>
        <v/>
      </c>
      <c r="K79" s="23">
        <f>IFERROR(IF(OR(C79="",D79=""),"",D79*VLOOKUP(C79,'Setup - Mix Design'!$A$5:$I$304,7,0)),"")</f>
        <v/>
      </c>
    </row>
    <row r="80">
      <c r="A80" s="26" t="n"/>
      <c r="B80" s="21" t="n"/>
      <c r="C80" s="21" t="n"/>
      <c r="D80" s="22" t="n"/>
      <c r="E80" s="21" t="n"/>
      <c r="F80" s="23">
        <f>IFERROR(IF(OR(C80="",D80=""),"",D80*VLOOKUP(C80,'Setup - Mix Design'!$A$5:$I$304,2,0)),"")</f>
        <v/>
      </c>
      <c r="G80" s="23">
        <f>IFERROR(IF(OR(C80="",D80=""),"",D80*VLOOKUP(C80,'Setup - Mix Design'!$A$5:$I$304,3,0)),"")</f>
        <v/>
      </c>
      <c r="H80" s="23">
        <f>IFERROR(IF(OR(C80="",D80=""),"",D80*VLOOKUP(C80,'Setup - Mix Design'!$A$5:$I$304,4,0)),"")</f>
        <v/>
      </c>
      <c r="I80" s="23">
        <f>IFERROR(IF(OR(C80="",D80=""),"",D80*VLOOKUP(C80,'Setup - Mix Design'!$A$5:$I$304,5,0)),"")</f>
        <v/>
      </c>
      <c r="J80" s="23">
        <f>IFERROR(IF(OR(C80="",D80=""),"",D80*VLOOKUP(C80,'Setup - Mix Design'!$A$5:$I$304,6,0)),"")</f>
        <v/>
      </c>
      <c r="K80" s="23">
        <f>IFERROR(IF(OR(C80="",D80=""),"",D80*VLOOKUP(C80,'Setup - Mix Design'!$A$5:$I$304,7,0)),"")</f>
        <v/>
      </c>
    </row>
    <row r="81">
      <c r="A81" s="26" t="n"/>
      <c r="B81" s="21" t="n"/>
      <c r="C81" s="21" t="n"/>
      <c r="D81" s="22" t="n"/>
      <c r="E81" s="21" t="n"/>
      <c r="F81" s="23">
        <f>IFERROR(IF(OR(C81="",D81=""),"",D81*VLOOKUP(C81,'Setup - Mix Design'!$A$5:$I$304,2,0)),"")</f>
        <v/>
      </c>
      <c r="G81" s="23">
        <f>IFERROR(IF(OR(C81="",D81=""),"",D81*VLOOKUP(C81,'Setup - Mix Design'!$A$5:$I$304,3,0)),"")</f>
        <v/>
      </c>
      <c r="H81" s="23">
        <f>IFERROR(IF(OR(C81="",D81=""),"",D81*VLOOKUP(C81,'Setup - Mix Design'!$A$5:$I$304,4,0)),"")</f>
        <v/>
      </c>
      <c r="I81" s="23">
        <f>IFERROR(IF(OR(C81="",D81=""),"",D81*VLOOKUP(C81,'Setup - Mix Design'!$A$5:$I$304,5,0)),"")</f>
        <v/>
      </c>
      <c r="J81" s="23">
        <f>IFERROR(IF(OR(C81="",D81=""),"",D81*VLOOKUP(C81,'Setup - Mix Design'!$A$5:$I$304,6,0)),"")</f>
        <v/>
      </c>
      <c r="K81" s="23">
        <f>IFERROR(IF(OR(C81="",D81=""),"",D81*VLOOKUP(C81,'Setup - Mix Design'!$A$5:$I$304,7,0)),"")</f>
        <v/>
      </c>
    </row>
    <row r="82">
      <c r="A82" s="26" t="n"/>
      <c r="B82" s="21" t="n"/>
      <c r="C82" s="21" t="n"/>
      <c r="D82" s="22" t="n"/>
      <c r="E82" s="21" t="n"/>
      <c r="F82" s="23">
        <f>IFERROR(IF(OR(C82="",D82=""),"",D82*VLOOKUP(C82,'Setup - Mix Design'!$A$5:$I$304,2,0)),"")</f>
        <v/>
      </c>
      <c r="G82" s="23">
        <f>IFERROR(IF(OR(C82="",D82=""),"",D82*VLOOKUP(C82,'Setup - Mix Design'!$A$5:$I$304,3,0)),"")</f>
        <v/>
      </c>
      <c r="H82" s="23">
        <f>IFERROR(IF(OR(C82="",D82=""),"",D82*VLOOKUP(C82,'Setup - Mix Design'!$A$5:$I$304,4,0)),"")</f>
        <v/>
      </c>
      <c r="I82" s="23">
        <f>IFERROR(IF(OR(C82="",D82=""),"",D82*VLOOKUP(C82,'Setup - Mix Design'!$A$5:$I$304,5,0)),"")</f>
        <v/>
      </c>
      <c r="J82" s="23">
        <f>IFERROR(IF(OR(C82="",D82=""),"",D82*VLOOKUP(C82,'Setup - Mix Design'!$A$5:$I$304,6,0)),"")</f>
        <v/>
      </c>
      <c r="K82" s="23">
        <f>IFERROR(IF(OR(C82="",D82=""),"",D82*VLOOKUP(C82,'Setup - Mix Design'!$A$5:$I$304,7,0)),"")</f>
        <v/>
      </c>
    </row>
    <row r="83">
      <c r="A83" s="26" t="n"/>
      <c r="B83" s="21" t="n"/>
      <c r="C83" s="21" t="n"/>
      <c r="D83" s="22" t="n"/>
      <c r="E83" s="21" t="n"/>
      <c r="F83" s="23">
        <f>IFERROR(IF(OR(C83="",D83=""),"",D83*VLOOKUP(C83,'Setup - Mix Design'!$A$5:$I$304,2,0)),"")</f>
        <v/>
      </c>
      <c r="G83" s="23">
        <f>IFERROR(IF(OR(C83="",D83=""),"",D83*VLOOKUP(C83,'Setup - Mix Design'!$A$5:$I$304,3,0)),"")</f>
        <v/>
      </c>
      <c r="H83" s="23">
        <f>IFERROR(IF(OR(C83="",D83=""),"",D83*VLOOKUP(C83,'Setup - Mix Design'!$A$5:$I$304,4,0)),"")</f>
        <v/>
      </c>
      <c r="I83" s="23">
        <f>IFERROR(IF(OR(C83="",D83=""),"",D83*VLOOKUP(C83,'Setup - Mix Design'!$A$5:$I$304,5,0)),"")</f>
        <v/>
      </c>
      <c r="J83" s="23">
        <f>IFERROR(IF(OR(C83="",D83=""),"",D83*VLOOKUP(C83,'Setup - Mix Design'!$A$5:$I$304,6,0)),"")</f>
        <v/>
      </c>
      <c r="K83" s="23">
        <f>IFERROR(IF(OR(C83="",D83=""),"",D83*VLOOKUP(C83,'Setup - Mix Design'!$A$5:$I$304,7,0)),"")</f>
        <v/>
      </c>
    </row>
    <row r="84">
      <c r="A84" s="26" t="n"/>
      <c r="B84" s="21" t="n"/>
      <c r="C84" s="21" t="n"/>
      <c r="D84" s="22" t="n"/>
      <c r="E84" s="21" t="n"/>
      <c r="F84" s="23">
        <f>IFERROR(IF(OR(C84="",D84=""),"",D84*VLOOKUP(C84,'Setup - Mix Design'!$A$5:$I$304,2,0)),"")</f>
        <v/>
      </c>
      <c r="G84" s="23">
        <f>IFERROR(IF(OR(C84="",D84=""),"",D84*VLOOKUP(C84,'Setup - Mix Design'!$A$5:$I$304,3,0)),"")</f>
        <v/>
      </c>
      <c r="H84" s="23">
        <f>IFERROR(IF(OR(C84="",D84=""),"",D84*VLOOKUP(C84,'Setup - Mix Design'!$A$5:$I$304,4,0)),"")</f>
        <v/>
      </c>
      <c r="I84" s="23">
        <f>IFERROR(IF(OR(C84="",D84=""),"",D84*VLOOKUP(C84,'Setup - Mix Design'!$A$5:$I$304,5,0)),"")</f>
        <v/>
      </c>
      <c r="J84" s="23">
        <f>IFERROR(IF(OR(C84="",D84=""),"",D84*VLOOKUP(C84,'Setup - Mix Design'!$A$5:$I$304,6,0)),"")</f>
        <v/>
      </c>
      <c r="K84" s="23">
        <f>IFERROR(IF(OR(C84="",D84=""),"",D84*VLOOKUP(C84,'Setup - Mix Design'!$A$5:$I$304,7,0)),"")</f>
        <v/>
      </c>
    </row>
    <row r="85">
      <c r="A85" s="26" t="n"/>
      <c r="B85" s="21" t="n"/>
      <c r="C85" s="21" t="n"/>
      <c r="D85" s="22" t="n"/>
      <c r="E85" s="21" t="n"/>
      <c r="F85" s="23">
        <f>IFERROR(IF(OR(C85="",D85=""),"",D85*VLOOKUP(C85,'Setup - Mix Design'!$A$5:$I$304,2,0)),"")</f>
        <v/>
      </c>
      <c r="G85" s="23">
        <f>IFERROR(IF(OR(C85="",D85=""),"",D85*VLOOKUP(C85,'Setup - Mix Design'!$A$5:$I$304,3,0)),"")</f>
        <v/>
      </c>
      <c r="H85" s="23">
        <f>IFERROR(IF(OR(C85="",D85=""),"",D85*VLOOKUP(C85,'Setup - Mix Design'!$A$5:$I$304,4,0)),"")</f>
        <v/>
      </c>
      <c r="I85" s="23">
        <f>IFERROR(IF(OR(C85="",D85=""),"",D85*VLOOKUP(C85,'Setup - Mix Design'!$A$5:$I$304,5,0)),"")</f>
        <v/>
      </c>
      <c r="J85" s="23">
        <f>IFERROR(IF(OR(C85="",D85=""),"",D85*VLOOKUP(C85,'Setup - Mix Design'!$A$5:$I$304,6,0)),"")</f>
        <v/>
      </c>
      <c r="K85" s="23">
        <f>IFERROR(IF(OR(C85="",D85=""),"",D85*VLOOKUP(C85,'Setup - Mix Design'!$A$5:$I$304,7,0)),"")</f>
        <v/>
      </c>
    </row>
    <row r="86">
      <c r="A86" s="26" t="n"/>
      <c r="B86" s="21" t="n"/>
      <c r="C86" s="21" t="n"/>
      <c r="D86" s="22" t="n"/>
      <c r="E86" s="21" t="n"/>
      <c r="F86" s="23">
        <f>IFERROR(IF(OR(C86="",D86=""),"",D86*VLOOKUP(C86,'Setup - Mix Design'!$A$5:$I$304,2,0)),"")</f>
        <v/>
      </c>
      <c r="G86" s="23">
        <f>IFERROR(IF(OR(C86="",D86=""),"",D86*VLOOKUP(C86,'Setup - Mix Design'!$A$5:$I$304,3,0)),"")</f>
        <v/>
      </c>
      <c r="H86" s="23">
        <f>IFERROR(IF(OR(C86="",D86=""),"",D86*VLOOKUP(C86,'Setup - Mix Design'!$A$5:$I$304,4,0)),"")</f>
        <v/>
      </c>
      <c r="I86" s="23">
        <f>IFERROR(IF(OR(C86="",D86=""),"",D86*VLOOKUP(C86,'Setup - Mix Design'!$A$5:$I$304,5,0)),"")</f>
        <v/>
      </c>
      <c r="J86" s="23">
        <f>IFERROR(IF(OR(C86="",D86=""),"",D86*VLOOKUP(C86,'Setup - Mix Design'!$A$5:$I$304,6,0)),"")</f>
        <v/>
      </c>
      <c r="K86" s="23">
        <f>IFERROR(IF(OR(C86="",D86=""),"",D86*VLOOKUP(C86,'Setup - Mix Design'!$A$5:$I$304,7,0)),"")</f>
        <v/>
      </c>
    </row>
    <row r="87">
      <c r="A87" s="26" t="n"/>
      <c r="B87" s="21" t="n"/>
      <c r="C87" s="21" t="n"/>
      <c r="D87" s="22" t="n"/>
      <c r="E87" s="21" t="n"/>
      <c r="F87" s="23">
        <f>IFERROR(IF(OR(C87="",D87=""),"",D87*VLOOKUP(C87,'Setup - Mix Design'!$A$5:$I$304,2,0)),"")</f>
        <v/>
      </c>
      <c r="G87" s="23">
        <f>IFERROR(IF(OR(C87="",D87=""),"",D87*VLOOKUP(C87,'Setup - Mix Design'!$A$5:$I$304,3,0)),"")</f>
        <v/>
      </c>
      <c r="H87" s="23">
        <f>IFERROR(IF(OR(C87="",D87=""),"",D87*VLOOKUP(C87,'Setup - Mix Design'!$A$5:$I$304,4,0)),"")</f>
        <v/>
      </c>
      <c r="I87" s="23">
        <f>IFERROR(IF(OR(C87="",D87=""),"",D87*VLOOKUP(C87,'Setup - Mix Design'!$A$5:$I$304,5,0)),"")</f>
        <v/>
      </c>
      <c r="J87" s="23">
        <f>IFERROR(IF(OR(C87="",D87=""),"",D87*VLOOKUP(C87,'Setup - Mix Design'!$A$5:$I$304,6,0)),"")</f>
        <v/>
      </c>
      <c r="K87" s="23">
        <f>IFERROR(IF(OR(C87="",D87=""),"",D87*VLOOKUP(C87,'Setup - Mix Design'!$A$5:$I$304,7,0)),"")</f>
        <v/>
      </c>
    </row>
    <row r="88">
      <c r="A88" s="26" t="n"/>
      <c r="B88" s="21" t="n"/>
      <c r="C88" s="21" t="n"/>
      <c r="D88" s="22" t="n"/>
      <c r="E88" s="21" t="n"/>
      <c r="F88" s="23">
        <f>IFERROR(IF(OR(C88="",D88=""),"",D88*VLOOKUP(C88,'Setup - Mix Design'!$A$5:$I$304,2,0)),"")</f>
        <v/>
      </c>
      <c r="G88" s="23">
        <f>IFERROR(IF(OR(C88="",D88=""),"",D88*VLOOKUP(C88,'Setup - Mix Design'!$A$5:$I$304,3,0)),"")</f>
        <v/>
      </c>
      <c r="H88" s="23">
        <f>IFERROR(IF(OR(C88="",D88=""),"",D88*VLOOKUP(C88,'Setup - Mix Design'!$A$5:$I$304,4,0)),"")</f>
        <v/>
      </c>
      <c r="I88" s="23">
        <f>IFERROR(IF(OR(C88="",D88=""),"",D88*VLOOKUP(C88,'Setup - Mix Design'!$A$5:$I$304,5,0)),"")</f>
        <v/>
      </c>
      <c r="J88" s="23">
        <f>IFERROR(IF(OR(C88="",D88=""),"",D88*VLOOKUP(C88,'Setup - Mix Design'!$A$5:$I$304,6,0)),"")</f>
        <v/>
      </c>
      <c r="K88" s="23">
        <f>IFERROR(IF(OR(C88="",D88=""),"",D88*VLOOKUP(C88,'Setup - Mix Design'!$A$5:$I$304,7,0)),"")</f>
        <v/>
      </c>
    </row>
    <row r="89">
      <c r="A89" s="26" t="n"/>
      <c r="B89" s="21" t="n"/>
      <c r="C89" s="21" t="n"/>
      <c r="D89" s="22" t="n"/>
      <c r="E89" s="21" t="n"/>
      <c r="F89" s="23">
        <f>IFERROR(IF(OR(C89="",D89=""),"",D89*VLOOKUP(C89,'Setup - Mix Design'!$A$5:$I$304,2,0)),"")</f>
        <v/>
      </c>
      <c r="G89" s="23">
        <f>IFERROR(IF(OR(C89="",D89=""),"",D89*VLOOKUP(C89,'Setup - Mix Design'!$A$5:$I$304,3,0)),"")</f>
        <v/>
      </c>
      <c r="H89" s="23">
        <f>IFERROR(IF(OR(C89="",D89=""),"",D89*VLOOKUP(C89,'Setup - Mix Design'!$A$5:$I$304,4,0)),"")</f>
        <v/>
      </c>
      <c r="I89" s="23">
        <f>IFERROR(IF(OR(C89="",D89=""),"",D89*VLOOKUP(C89,'Setup - Mix Design'!$A$5:$I$304,5,0)),"")</f>
        <v/>
      </c>
      <c r="J89" s="23">
        <f>IFERROR(IF(OR(C89="",D89=""),"",D89*VLOOKUP(C89,'Setup - Mix Design'!$A$5:$I$304,6,0)),"")</f>
        <v/>
      </c>
      <c r="K89" s="23">
        <f>IFERROR(IF(OR(C89="",D89=""),"",D89*VLOOKUP(C89,'Setup - Mix Design'!$A$5:$I$304,7,0)),"")</f>
        <v/>
      </c>
    </row>
    <row r="90">
      <c r="A90" s="26" t="n"/>
      <c r="B90" s="21" t="n"/>
      <c r="C90" s="21" t="n"/>
      <c r="D90" s="22" t="n"/>
      <c r="E90" s="21" t="n"/>
      <c r="F90" s="23">
        <f>IFERROR(IF(OR(C90="",D90=""),"",D90*VLOOKUP(C90,'Setup - Mix Design'!$A$5:$I$304,2,0)),"")</f>
        <v/>
      </c>
      <c r="G90" s="23">
        <f>IFERROR(IF(OR(C90="",D90=""),"",D90*VLOOKUP(C90,'Setup - Mix Design'!$A$5:$I$304,3,0)),"")</f>
        <v/>
      </c>
      <c r="H90" s="23">
        <f>IFERROR(IF(OR(C90="",D90=""),"",D90*VLOOKUP(C90,'Setup - Mix Design'!$A$5:$I$304,4,0)),"")</f>
        <v/>
      </c>
      <c r="I90" s="23">
        <f>IFERROR(IF(OR(C90="",D90=""),"",D90*VLOOKUP(C90,'Setup - Mix Design'!$A$5:$I$304,5,0)),"")</f>
        <v/>
      </c>
      <c r="J90" s="23">
        <f>IFERROR(IF(OR(C90="",D90=""),"",D90*VLOOKUP(C90,'Setup - Mix Design'!$A$5:$I$304,6,0)),"")</f>
        <v/>
      </c>
      <c r="K90" s="23">
        <f>IFERROR(IF(OR(C90="",D90=""),"",D90*VLOOKUP(C90,'Setup - Mix Design'!$A$5:$I$304,7,0)),"")</f>
        <v/>
      </c>
    </row>
    <row r="91">
      <c r="A91" s="26" t="n"/>
      <c r="B91" s="21" t="n"/>
      <c r="C91" s="21" t="n"/>
      <c r="D91" s="22" t="n"/>
      <c r="E91" s="21" t="n"/>
      <c r="F91" s="23">
        <f>IFERROR(IF(OR(C91="",D91=""),"",D91*VLOOKUP(C91,'Setup - Mix Design'!$A$5:$I$304,2,0)),"")</f>
        <v/>
      </c>
      <c r="G91" s="23">
        <f>IFERROR(IF(OR(C91="",D91=""),"",D91*VLOOKUP(C91,'Setup - Mix Design'!$A$5:$I$304,3,0)),"")</f>
        <v/>
      </c>
      <c r="H91" s="23">
        <f>IFERROR(IF(OR(C91="",D91=""),"",D91*VLOOKUP(C91,'Setup - Mix Design'!$A$5:$I$304,4,0)),"")</f>
        <v/>
      </c>
      <c r="I91" s="23">
        <f>IFERROR(IF(OR(C91="",D91=""),"",D91*VLOOKUP(C91,'Setup - Mix Design'!$A$5:$I$304,5,0)),"")</f>
        <v/>
      </c>
      <c r="J91" s="23">
        <f>IFERROR(IF(OR(C91="",D91=""),"",D91*VLOOKUP(C91,'Setup - Mix Design'!$A$5:$I$304,6,0)),"")</f>
        <v/>
      </c>
      <c r="K91" s="23">
        <f>IFERROR(IF(OR(C91="",D91=""),"",D91*VLOOKUP(C91,'Setup - Mix Design'!$A$5:$I$304,7,0)),"")</f>
        <v/>
      </c>
    </row>
    <row r="92">
      <c r="A92" s="26" t="n"/>
      <c r="B92" s="21" t="n"/>
      <c r="C92" s="21" t="n"/>
      <c r="D92" s="22" t="n"/>
      <c r="E92" s="21" t="n"/>
      <c r="F92" s="23">
        <f>IFERROR(IF(OR(C92="",D92=""),"",D92*VLOOKUP(C92,'Setup - Mix Design'!$A$5:$I$304,2,0)),"")</f>
        <v/>
      </c>
      <c r="G92" s="23">
        <f>IFERROR(IF(OR(C92="",D92=""),"",D92*VLOOKUP(C92,'Setup - Mix Design'!$A$5:$I$304,3,0)),"")</f>
        <v/>
      </c>
      <c r="H92" s="23">
        <f>IFERROR(IF(OR(C92="",D92=""),"",D92*VLOOKUP(C92,'Setup - Mix Design'!$A$5:$I$304,4,0)),"")</f>
        <v/>
      </c>
      <c r="I92" s="23">
        <f>IFERROR(IF(OR(C92="",D92=""),"",D92*VLOOKUP(C92,'Setup - Mix Design'!$A$5:$I$304,5,0)),"")</f>
        <v/>
      </c>
      <c r="J92" s="23">
        <f>IFERROR(IF(OR(C92="",D92=""),"",D92*VLOOKUP(C92,'Setup - Mix Design'!$A$5:$I$304,6,0)),"")</f>
        <v/>
      </c>
      <c r="K92" s="23">
        <f>IFERROR(IF(OR(C92="",D92=""),"",D92*VLOOKUP(C92,'Setup - Mix Design'!$A$5:$I$304,7,0)),"")</f>
        <v/>
      </c>
    </row>
    <row r="93">
      <c r="A93" s="26" t="n"/>
      <c r="B93" s="21" t="n"/>
      <c r="C93" s="21" t="n"/>
      <c r="D93" s="22" t="n"/>
      <c r="E93" s="21" t="n"/>
      <c r="F93" s="23">
        <f>IFERROR(IF(OR(C93="",D93=""),"",D93*VLOOKUP(C93,'Setup - Mix Design'!$A$5:$I$304,2,0)),"")</f>
        <v/>
      </c>
      <c r="G93" s="23">
        <f>IFERROR(IF(OR(C93="",D93=""),"",D93*VLOOKUP(C93,'Setup - Mix Design'!$A$5:$I$304,3,0)),"")</f>
        <v/>
      </c>
      <c r="H93" s="23">
        <f>IFERROR(IF(OR(C93="",D93=""),"",D93*VLOOKUP(C93,'Setup - Mix Design'!$A$5:$I$304,4,0)),"")</f>
        <v/>
      </c>
      <c r="I93" s="23">
        <f>IFERROR(IF(OR(C93="",D93=""),"",D93*VLOOKUP(C93,'Setup - Mix Design'!$A$5:$I$304,5,0)),"")</f>
        <v/>
      </c>
      <c r="J93" s="23">
        <f>IFERROR(IF(OR(C93="",D93=""),"",D93*VLOOKUP(C93,'Setup - Mix Design'!$A$5:$I$304,6,0)),"")</f>
        <v/>
      </c>
      <c r="K93" s="23">
        <f>IFERROR(IF(OR(C93="",D93=""),"",D93*VLOOKUP(C93,'Setup - Mix Design'!$A$5:$I$304,7,0)),"")</f>
        <v/>
      </c>
    </row>
    <row r="94">
      <c r="A94" s="26" t="n"/>
      <c r="B94" s="21" t="n"/>
      <c r="C94" s="21" t="n"/>
      <c r="D94" s="22" t="n"/>
      <c r="E94" s="21" t="n"/>
      <c r="F94" s="23">
        <f>IFERROR(IF(OR(C94="",D94=""),"",D94*VLOOKUP(C94,'Setup - Mix Design'!$A$5:$I$304,2,0)),"")</f>
        <v/>
      </c>
      <c r="G94" s="23">
        <f>IFERROR(IF(OR(C94="",D94=""),"",D94*VLOOKUP(C94,'Setup - Mix Design'!$A$5:$I$304,3,0)),"")</f>
        <v/>
      </c>
      <c r="H94" s="23">
        <f>IFERROR(IF(OR(C94="",D94=""),"",D94*VLOOKUP(C94,'Setup - Mix Design'!$A$5:$I$304,4,0)),"")</f>
        <v/>
      </c>
      <c r="I94" s="23">
        <f>IFERROR(IF(OR(C94="",D94=""),"",D94*VLOOKUP(C94,'Setup - Mix Design'!$A$5:$I$304,5,0)),"")</f>
        <v/>
      </c>
      <c r="J94" s="23">
        <f>IFERROR(IF(OR(C94="",D94=""),"",D94*VLOOKUP(C94,'Setup - Mix Design'!$A$5:$I$304,6,0)),"")</f>
        <v/>
      </c>
      <c r="K94" s="23">
        <f>IFERROR(IF(OR(C94="",D94=""),"",D94*VLOOKUP(C94,'Setup - Mix Design'!$A$5:$I$304,7,0)),"")</f>
        <v/>
      </c>
    </row>
    <row r="95">
      <c r="A95" s="26" t="n"/>
      <c r="B95" s="21" t="n"/>
      <c r="C95" s="21" t="n"/>
      <c r="D95" s="22" t="n"/>
      <c r="E95" s="21" t="n"/>
      <c r="F95" s="23">
        <f>IFERROR(IF(OR(C95="",D95=""),"",D95*VLOOKUP(C95,'Setup - Mix Design'!$A$5:$I$304,2,0)),"")</f>
        <v/>
      </c>
      <c r="G95" s="23">
        <f>IFERROR(IF(OR(C95="",D95=""),"",D95*VLOOKUP(C95,'Setup - Mix Design'!$A$5:$I$304,3,0)),"")</f>
        <v/>
      </c>
      <c r="H95" s="23">
        <f>IFERROR(IF(OR(C95="",D95=""),"",D95*VLOOKUP(C95,'Setup - Mix Design'!$A$5:$I$304,4,0)),"")</f>
        <v/>
      </c>
      <c r="I95" s="23">
        <f>IFERROR(IF(OR(C95="",D95=""),"",D95*VLOOKUP(C95,'Setup - Mix Design'!$A$5:$I$304,5,0)),"")</f>
        <v/>
      </c>
      <c r="J95" s="23">
        <f>IFERROR(IF(OR(C95="",D95=""),"",D95*VLOOKUP(C95,'Setup - Mix Design'!$A$5:$I$304,6,0)),"")</f>
        <v/>
      </c>
      <c r="K95" s="23">
        <f>IFERROR(IF(OR(C95="",D95=""),"",D95*VLOOKUP(C95,'Setup - Mix Design'!$A$5:$I$304,7,0)),"")</f>
        <v/>
      </c>
    </row>
    <row r="96">
      <c r="A96" s="26" t="n"/>
      <c r="B96" s="21" t="n"/>
      <c r="C96" s="21" t="n"/>
      <c r="D96" s="22" t="n"/>
      <c r="E96" s="21" t="n"/>
      <c r="F96" s="23">
        <f>IFERROR(IF(OR(C96="",D96=""),"",D96*VLOOKUP(C96,'Setup - Mix Design'!$A$5:$I$304,2,0)),"")</f>
        <v/>
      </c>
      <c r="G96" s="23">
        <f>IFERROR(IF(OR(C96="",D96=""),"",D96*VLOOKUP(C96,'Setup - Mix Design'!$A$5:$I$304,3,0)),"")</f>
        <v/>
      </c>
      <c r="H96" s="23">
        <f>IFERROR(IF(OR(C96="",D96=""),"",D96*VLOOKUP(C96,'Setup - Mix Design'!$A$5:$I$304,4,0)),"")</f>
        <v/>
      </c>
      <c r="I96" s="23">
        <f>IFERROR(IF(OR(C96="",D96=""),"",D96*VLOOKUP(C96,'Setup - Mix Design'!$A$5:$I$304,5,0)),"")</f>
        <v/>
      </c>
      <c r="J96" s="23">
        <f>IFERROR(IF(OR(C96="",D96=""),"",D96*VLOOKUP(C96,'Setup - Mix Design'!$A$5:$I$304,6,0)),"")</f>
        <v/>
      </c>
      <c r="K96" s="23">
        <f>IFERROR(IF(OR(C96="",D96=""),"",D96*VLOOKUP(C96,'Setup - Mix Design'!$A$5:$I$304,7,0)),"")</f>
        <v/>
      </c>
    </row>
    <row r="97">
      <c r="A97" s="26" t="n"/>
      <c r="B97" s="21" t="n"/>
      <c r="C97" s="21" t="n"/>
      <c r="D97" s="22" t="n"/>
      <c r="E97" s="21" t="n"/>
      <c r="F97" s="23">
        <f>IFERROR(IF(OR(C97="",D97=""),"",D97*VLOOKUP(C97,'Setup - Mix Design'!$A$5:$I$304,2,0)),"")</f>
        <v/>
      </c>
      <c r="G97" s="23">
        <f>IFERROR(IF(OR(C97="",D97=""),"",D97*VLOOKUP(C97,'Setup - Mix Design'!$A$5:$I$304,3,0)),"")</f>
        <v/>
      </c>
      <c r="H97" s="23">
        <f>IFERROR(IF(OR(C97="",D97=""),"",D97*VLOOKUP(C97,'Setup - Mix Design'!$A$5:$I$304,4,0)),"")</f>
        <v/>
      </c>
      <c r="I97" s="23">
        <f>IFERROR(IF(OR(C97="",D97=""),"",D97*VLOOKUP(C97,'Setup - Mix Design'!$A$5:$I$304,5,0)),"")</f>
        <v/>
      </c>
      <c r="J97" s="23">
        <f>IFERROR(IF(OR(C97="",D97=""),"",D97*VLOOKUP(C97,'Setup - Mix Design'!$A$5:$I$304,6,0)),"")</f>
        <v/>
      </c>
      <c r="K97" s="23">
        <f>IFERROR(IF(OR(C97="",D97=""),"",D97*VLOOKUP(C97,'Setup - Mix Design'!$A$5:$I$304,7,0)),"")</f>
        <v/>
      </c>
    </row>
    <row r="98">
      <c r="A98" s="26" t="n"/>
      <c r="B98" s="21" t="n"/>
      <c r="C98" s="21" t="n"/>
      <c r="D98" s="22" t="n"/>
      <c r="E98" s="21" t="n"/>
      <c r="F98" s="23">
        <f>IFERROR(IF(OR(C98="",D98=""),"",D98*VLOOKUP(C98,'Setup - Mix Design'!$A$5:$I$304,2,0)),"")</f>
        <v/>
      </c>
      <c r="G98" s="23">
        <f>IFERROR(IF(OR(C98="",D98=""),"",D98*VLOOKUP(C98,'Setup - Mix Design'!$A$5:$I$304,3,0)),"")</f>
        <v/>
      </c>
      <c r="H98" s="23">
        <f>IFERROR(IF(OR(C98="",D98=""),"",D98*VLOOKUP(C98,'Setup - Mix Design'!$A$5:$I$304,4,0)),"")</f>
        <v/>
      </c>
      <c r="I98" s="23">
        <f>IFERROR(IF(OR(C98="",D98=""),"",D98*VLOOKUP(C98,'Setup - Mix Design'!$A$5:$I$304,5,0)),"")</f>
        <v/>
      </c>
      <c r="J98" s="23">
        <f>IFERROR(IF(OR(C98="",D98=""),"",D98*VLOOKUP(C98,'Setup - Mix Design'!$A$5:$I$304,6,0)),"")</f>
        <v/>
      </c>
      <c r="K98" s="23">
        <f>IFERROR(IF(OR(C98="",D98=""),"",D98*VLOOKUP(C98,'Setup - Mix Design'!$A$5:$I$304,7,0)),"")</f>
        <v/>
      </c>
    </row>
    <row r="99">
      <c r="A99" s="26" t="n"/>
      <c r="B99" s="21" t="n"/>
      <c r="C99" s="21" t="n"/>
      <c r="D99" s="22" t="n"/>
      <c r="E99" s="21" t="n"/>
      <c r="F99" s="23">
        <f>IFERROR(IF(OR(C99="",D99=""),"",D99*VLOOKUP(C99,'Setup - Mix Design'!$A$5:$I$304,2,0)),"")</f>
        <v/>
      </c>
      <c r="G99" s="23">
        <f>IFERROR(IF(OR(C99="",D99=""),"",D99*VLOOKUP(C99,'Setup - Mix Design'!$A$5:$I$304,3,0)),"")</f>
        <v/>
      </c>
      <c r="H99" s="23">
        <f>IFERROR(IF(OR(C99="",D99=""),"",D99*VLOOKUP(C99,'Setup - Mix Design'!$A$5:$I$304,4,0)),"")</f>
        <v/>
      </c>
      <c r="I99" s="23">
        <f>IFERROR(IF(OR(C99="",D99=""),"",D99*VLOOKUP(C99,'Setup - Mix Design'!$A$5:$I$304,5,0)),"")</f>
        <v/>
      </c>
      <c r="J99" s="23">
        <f>IFERROR(IF(OR(C99="",D99=""),"",D99*VLOOKUP(C99,'Setup - Mix Design'!$A$5:$I$304,6,0)),"")</f>
        <v/>
      </c>
      <c r="K99" s="23">
        <f>IFERROR(IF(OR(C99="",D99=""),"",D99*VLOOKUP(C99,'Setup - Mix Design'!$A$5:$I$304,7,0)),"")</f>
        <v/>
      </c>
    </row>
    <row r="100">
      <c r="A100" s="26" t="n"/>
      <c r="B100" s="21" t="n"/>
      <c r="C100" s="21" t="n"/>
      <c r="D100" s="22" t="n"/>
      <c r="E100" s="21" t="n"/>
      <c r="F100" s="23">
        <f>IFERROR(IF(OR(C100="",D100=""),"",D100*VLOOKUP(C100,'Setup - Mix Design'!$A$5:$I$304,2,0)),"")</f>
        <v/>
      </c>
      <c r="G100" s="23">
        <f>IFERROR(IF(OR(C100="",D100=""),"",D100*VLOOKUP(C100,'Setup - Mix Design'!$A$5:$I$304,3,0)),"")</f>
        <v/>
      </c>
      <c r="H100" s="23">
        <f>IFERROR(IF(OR(C100="",D100=""),"",D100*VLOOKUP(C100,'Setup - Mix Design'!$A$5:$I$304,4,0)),"")</f>
        <v/>
      </c>
      <c r="I100" s="23">
        <f>IFERROR(IF(OR(C100="",D100=""),"",D100*VLOOKUP(C100,'Setup - Mix Design'!$A$5:$I$304,5,0)),"")</f>
        <v/>
      </c>
      <c r="J100" s="23">
        <f>IFERROR(IF(OR(C100="",D100=""),"",D100*VLOOKUP(C100,'Setup - Mix Design'!$A$5:$I$304,6,0)),"")</f>
        <v/>
      </c>
      <c r="K100" s="23">
        <f>IFERROR(IF(OR(C100="",D100=""),"",D100*VLOOKUP(C100,'Setup - Mix Design'!$A$5:$I$304,7,0)),"")</f>
        <v/>
      </c>
    </row>
    <row r="101">
      <c r="A101" s="26" t="n"/>
      <c r="B101" s="21" t="n"/>
      <c r="C101" s="21" t="n"/>
      <c r="D101" s="22" t="n"/>
      <c r="E101" s="21" t="n"/>
      <c r="F101" s="23">
        <f>IFERROR(IF(OR(C101="",D101=""),"",D101*VLOOKUP(C101,'Setup - Mix Design'!$A$5:$I$304,2,0)),"")</f>
        <v/>
      </c>
      <c r="G101" s="23">
        <f>IFERROR(IF(OR(C101="",D101=""),"",D101*VLOOKUP(C101,'Setup - Mix Design'!$A$5:$I$304,3,0)),"")</f>
        <v/>
      </c>
      <c r="H101" s="23">
        <f>IFERROR(IF(OR(C101="",D101=""),"",D101*VLOOKUP(C101,'Setup - Mix Design'!$A$5:$I$304,4,0)),"")</f>
        <v/>
      </c>
      <c r="I101" s="23">
        <f>IFERROR(IF(OR(C101="",D101=""),"",D101*VLOOKUP(C101,'Setup - Mix Design'!$A$5:$I$304,5,0)),"")</f>
        <v/>
      </c>
      <c r="J101" s="23">
        <f>IFERROR(IF(OR(C101="",D101=""),"",D101*VLOOKUP(C101,'Setup - Mix Design'!$A$5:$I$304,6,0)),"")</f>
        <v/>
      </c>
      <c r="K101" s="23">
        <f>IFERROR(IF(OR(C101="",D101=""),"",D101*VLOOKUP(C101,'Setup - Mix Design'!$A$5:$I$304,7,0)),"")</f>
        <v/>
      </c>
    </row>
    <row r="102">
      <c r="A102" s="26" t="n"/>
      <c r="B102" s="21" t="n"/>
      <c r="C102" s="21" t="n"/>
      <c r="D102" s="22" t="n"/>
      <c r="E102" s="21" t="n"/>
      <c r="F102" s="23">
        <f>IFERROR(IF(OR(C102="",D102=""),"",D102*VLOOKUP(C102,'Setup - Mix Design'!$A$5:$I$304,2,0)),"")</f>
        <v/>
      </c>
      <c r="G102" s="23">
        <f>IFERROR(IF(OR(C102="",D102=""),"",D102*VLOOKUP(C102,'Setup - Mix Design'!$A$5:$I$304,3,0)),"")</f>
        <v/>
      </c>
      <c r="H102" s="23">
        <f>IFERROR(IF(OR(C102="",D102=""),"",D102*VLOOKUP(C102,'Setup - Mix Design'!$A$5:$I$304,4,0)),"")</f>
        <v/>
      </c>
      <c r="I102" s="23">
        <f>IFERROR(IF(OR(C102="",D102=""),"",D102*VLOOKUP(C102,'Setup - Mix Design'!$A$5:$I$304,5,0)),"")</f>
        <v/>
      </c>
      <c r="J102" s="23">
        <f>IFERROR(IF(OR(C102="",D102=""),"",D102*VLOOKUP(C102,'Setup - Mix Design'!$A$5:$I$304,6,0)),"")</f>
        <v/>
      </c>
      <c r="K102" s="23">
        <f>IFERROR(IF(OR(C102="",D102=""),"",D102*VLOOKUP(C102,'Setup - Mix Design'!$A$5:$I$304,7,0)),"")</f>
        <v/>
      </c>
    </row>
    <row r="103">
      <c r="A103" s="26" t="n"/>
      <c r="B103" s="21" t="n"/>
      <c r="C103" s="21" t="n"/>
      <c r="D103" s="22" t="n"/>
      <c r="E103" s="21" t="n"/>
      <c r="F103" s="23">
        <f>IFERROR(IF(OR(C103="",D103=""),"",D103*VLOOKUP(C103,'Setup - Mix Design'!$A$5:$I$304,2,0)),"")</f>
        <v/>
      </c>
      <c r="G103" s="23">
        <f>IFERROR(IF(OR(C103="",D103=""),"",D103*VLOOKUP(C103,'Setup - Mix Design'!$A$5:$I$304,3,0)),"")</f>
        <v/>
      </c>
      <c r="H103" s="23">
        <f>IFERROR(IF(OR(C103="",D103=""),"",D103*VLOOKUP(C103,'Setup - Mix Design'!$A$5:$I$304,4,0)),"")</f>
        <v/>
      </c>
      <c r="I103" s="23">
        <f>IFERROR(IF(OR(C103="",D103=""),"",D103*VLOOKUP(C103,'Setup - Mix Design'!$A$5:$I$304,5,0)),"")</f>
        <v/>
      </c>
      <c r="J103" s="23">
        <f>IFERROR(IF(OR(C103="",D103=""),"",D103*VLOOKUP(C103,'Setup - Mix Design'!$A$5:$I$304,6,0)),"")</f>
        <v/>
      </c>
      <c r="K103" s="23">
        <f>IFERROR(IF(OR(C103="",D103=""),"",D103*VLOOKUP(C103,'Setup - Mix Design'!$A$5:$I$304,7,0)),"")</f>
        <v/>
      </c>
    </row>
    <row r="104">
      <c r="A104" s="26" t="n"/>
      <c r="B104" s="21" t="n"/>
      <c r="C104" s="21" t="n"/>
      <c r="D104" s="22" t="n"/>
      <c r="E104" s="21" t="n"/>
      <c r="F104" s="23">
        <f>IFERROR(IF(OR(C104="",D104=""),"",D104*VLOOKUP(C104,'Setup - Mix Design'!$A$5:$I$304,2,0)),"")</f>
        <v/>
      </c>
      <c r="G104" s="23">
        <f>IFERROR(IF(OR(C104="",D104=""),"",D104*VLOOKUP(C104,'Setup - Mix Design'!$A$5:$I$304,3,0)),"")</f>
        <v/>
      </c>
      <c r="H104" s="23">
        <f>IFERROR(IF(OR(C104="",D104=""),"",D104*VLOOKUP(C104,'Setup - Mix Design'!$A$5:$I$304,4,0)),"")</f>
        <v/>
      </c>
      <c r="I104" s="23">
        <f>IFERROR(IF(OR(C104="",D104=""),"",D104*VLOOKUP(C104,'Setup - Mix Design'!$A$5:$I$304,5,0)),"")</f>
        <v/>
      </c>
      <c r="J104" s="23">
        <f>IFERROR(IF(OR(C104="",D104=""),"",D104*VLOOKUP(C104,'Setup - Mix Design'!$A$5:$I$304,6,0)),"")</f>
        <v/>
      </c>
      <c r="K104" s="23">
        <f>IFERROR(IF(OR(C104="",D104=""),"",D104*VLOOKUP(C104,'Setup - Mix Design'!$A$5:$I$304,7,0)),"")</f>
        <v/>
      </c>
    </row>
    <row r="105">
      <c r="A105" s="26" t="n"/>
      <c r="B105" s="21" t="n"/>
      <c r="C105" s="21" t="n"/>
      <c r="D105" s="22" t="n"/>
      <c r="E105" s="21" t="n"/>
      <c r="F105" s="23">
        <f>IFERROR(IF(OR(C105="",D105=""),"",D105*VLOOKUP(C105,'Setup - Mix Design'!$A$5:$I$304,2,0)),"")</f>
        <v/>
      </c>
      <c r="G105" s="23">
        <f>IFERROR(IF(OR(C105="",D105=""),"",D105*VLOOKUP(C105,'Setup - Mix Design'!$A$5:$I$304,3,0)),"")</f>
        <v/>
      </c>
      <c r="H105" s="23">
        <f>IFERROR(IF(OR(C105="",D105=""),"",D105*VLOOKUP(C105,'Setup - Mix Design'!$A$5:$I$304,4,0)),"")</f>
        <v/>
      </c>
      <c r="I105" s="23">
        <f>IFERROR(IF(OR(C105="",D105=""),"",D105*VLOOKUP(C105,'Setup - Mix Design'!$A$5:$I$304,5,0)),"")</f>
        <v/>
      </c>
      <c r="J105" s="23">
        <f>IFERROR(IF(OR(C105="",D105=""),"",D105*VLOOKUP(C105,'Setup - Mix Design'!$A$5:$I$304,6,0)),"")</f>
        <v/>
      </c>
      <c r="K105" s="23">
        <f>IFERROR(IF(OR(C105="",D105=""),"",D105*VLOOKUP(C105,'Setup - Mix Design'!$A$5:$I$304,7,0)),"")</f>
        <v/>
      </c>
    </row>
    <row r="106">
      <c r="A106" s="26" t="n"/>
      <c r="B106" s="21" t="n"/>
      <c r="C106" s="21" t="n"/>
      <c r="D106" s="22" t="n"/>
      <c r="E106" s="21" t="n"/>
      <c r="F106" s="23">
        <f>IFERROR(IF(OR(C106="",D106=""),"",D106*VLOOKUP(C106,'Setup - Mix Design'!$A$5:$I$304,2,0)),"")</f>
        <v/>
      </c>
      <c r="G106" s="23">
        <f>IFERROR(IF(OR(C106="",D106=""),"",D106*VLOOKUP(C106,'Setup - Mix Design'!$A$5:$I$304,3,0)),"")</f>
        <v/>
      </c>
      <c r="H106" s="23">
        <f>IFERROR(IF(OR(C106="",D106=""),"",D106*VLOOKUP(C106,'Setup - Mix Design'!$A$5:$I$304,4,0)),"")</f>
        <v/>
      </c>
      <c r="I106" s="23">
        <f>IFERROR(IF(OR(C106="",D106=""),"",D106*VLOOKUP(C106,'Setup - Mix Design'!$A$5:$I$304,5,0)),"")</f>
        <v/>
      </c>
      <c r="J106" s="23">
        <f>IFERROR(IF(OR(C106="",D106=""),"",D106*VLOOKUP(C106,'Setup - Mix Design'!$A$5:$I$304,6,0)),"")</f>
        <v/>
      </c>
      <c r="K106" s="23">
        <f>IFERROR(IF(OR(C106="",D106=""),"",D106*VLOOKUP(C106,'Setup - Mix Design'!$A$5:$I$304,7,0)),"")</f>
        <v/>
      </c>
    </row>
    <row r="107">
      <c r="A107" s="26" t="n"/>
      <c r="B107" s="21" t="n"/>
      <c r="C107" s="21" t="n"/>
      <c r="D107" s="22" t="n"/>
      <c r="E107" s="21" t="n"/>
      <c r="F107" s="23">
        <f>IFERROR(IF(OR(C107="",D107=""),"",D107*VLOOKUP(C107,'Setup - Mix Design'!$A$5:$I$304,2,0)),"")</f>
        <v/>
      </c>
      <c r="G107" s="23">
        <f>IFERROR(IF(OR(C107="",D107=""),"",D107*VLOOKUP(C107,'Setup - Mix Design'!$A$5:$I$304,3,0)),"")</f>
        <v/>
      </c>
      <c r="H107" s="23">
        <f>IFERROR(IF(OR(C107="",D107=""),"",D107*VLOOKUP(C107,'Setup - Mix Design'!$A$5:$I$304,4,0)),"")</f>
        <v/>
      </c>
      <c r="I107" s="23">
        <f>IFERROR(IF(OR(C107="",D107=""),"",D107*VLOOKUP(C107,'Setup - Mix Design'!$A$5:$I$304,5,0)),"")</f>
        <v/>
      </c>
      <c r="J107" s="23">
        <f>IFERROR(IF(OR(C107="",D107=""),"",D107*VLOOKUP(C107,'Setup - Mix Design'!$A$5:$I$304,6,0)),"")</f>
        <v/>
      </c>
      <c r="K107" s="23">
        <f>IFERROR(IF(OR(C107="",D107=""),"",D107*VLOOKUP(C107,'Setup - Mix Design'!$A$5:$I$304,7,0)),"")</f>
        <v/>
      </c>
    </row>
    <row r="108">
      <c r="A108" s="26" t="n"/>
      <c r="B108" s="21" t="n"/>
      <c r="C108" s="21" t="n"/>
      <c r="D108" s="22" t="n"/>
      <c r="E108" s="21" t="n"/>
      <c r="F108" s="23">
        <f>IFERROR(IF(OR(C108="",D108=""),"",D108*VLOOKUP(C108,'Setup - Mix Design'!$A$5:$I$304,2,0)),"")</f>
        <v/>
      </c>
      <c r="G108" s="23">
        <f>IFERROR(IF(OR(C108="",D108=""),"",D108*VLOOKUP(C108,'Setup - Mix Design'!$A$5:$I$304,3,0)),"")</f>
        <v/>
      </c>
      <c r="H108" s="23">
        <f>IFERROR(IF(OR(C108="",D108=""),"",D108*VLOOKUP(C108,'Setup - Mix Design'!$A$5:$I$304,4,0)),"")</f>
        <v/>
      </c>
      <c r="I108" s="23">
        <f>IFERROR(IF(OR(C108="",D108=""),"",D108*VLOOKUP(C108,'Setup - Mix Design'!$A$5:$I$304,5,0)),"")</f>
        <v/>
      </c>
      <c r="J108" s="23">
        <f>IFERROR(IF(OR(C108="",D108=""),"",D108*VLOOKUP(C108,'Setup - Mix Design'!$A$5:$I$304,6,0)),"")</f>
        <v/>
      </c>
      <c r="K108" s="23">
        <f>IFERROR(IF(OR(C108="",D108=""),"",D108*VLOOKUP(C108,'Setup - Mix Design'!$A$5:$I$304,7,0)),"")</f>
        <v/>
      </c>
    </row>
    <row r="109">
      <c r="A109" s="26" t="n"/>
      <c r="B109" s="21" t="n"/>
      <c r="C109" s="21" t="n"/>
      <c r="D109" s="22" t="n"/>
      <c r="E109" s="21" t="n"/>
      <c r="F109" s="23">
        <f>IFERROR(IF(OR(C109="",D109=""),"",D109*VLOOKUP(C109,'Setup - Mix Design'!$A$5:$I$304,2,0)),"")</f>
        <v/>
      </c>
      <c r="G109" s="23">
        <f>IFERROR(IF(OR(C109="",D109=""),"",D109*VLOOKUP(C109,'Setup - Mix Design'!$A$5:$I$304,3,0)),"")</f>
        <v/>
      </c>
      <c r="H109" s="23">
        <f>IFERROR(IF(OR(C109="",D109=""),"",D109*VLOOKUP(C109,'Setup - Mix Design'!$A$5:$I$304,4,0)),"")</f>
        <v/>
      </c>
      <c r="I109" s="23">
        <f>IFERROR(IF(OR(C109="",D109=""),"",D109*VLOOKUP(C109,'Setup - Mix Design'!$A$5:$I$304,5,0)),"")</f>
        <v/>
      </c>
      <c r="J109" s="23">
        <f>IFERROR(IF(OR(C109="",D109=""),"",D109*VLOOKUP(C109,'Setup - Mix Design'!$A$5:$I$304,6,0)),"")</f>
        <v/>
      </c>
      <c r="K109" s="23">
        <f>IFERROR(IF(OR(C109="",D109=""),"",D109*VLOOKUP(C109,'Setup - Mix Design'!$A$5:$I$304,7,0)),"")</f>
        <v/>
      </c>
    </row>
    <row r="110">
      <c r="A110" s="26" t="n"/>
      <c r="B110" s="21" t="n"/>
      <c r="C110" s="21" t="n"/>
      <c r="D110" s="22" t="n"/>
      <c r="E110" s="21" t="n"/>
      <c r="F110" s="23">
        <f>IFERROR(IF(OR(C110="",D110=""),"",D110*VLOOKUP(C110,'Setup - Mix Design'!$A$5:$I$304,2,0)),"")</f>
        <v/>
      </c>
      <c r="G110" s="23">
        <f>IFERROR(IF(OR(C110="",D110=""),"",D110*VLOOKUP(C110,'Setup - Mix Design'!$A$5:$I$304,3,0)),"")</f>
        <v/>
      </c>
      <c r="H110" s="23">
        <f>IFERROR(IF(OR(C110="",D110=""),"",D110*VLOOKUP(C110,'Setup - Mix Design'!$A$5:$I$304,4,0)),"")</f>
        <v/>
      </c>
      <c r="I110" s="23">
        <f>IFERROR(IF(OR(C110="",D110=""),"",D110*VLOOKUP(C110,'Setup - Mix Design'!$A$5:$I$304,5,0)),"")</f>
        <v/>
      </c>
      <c r="J110" s="23">
        <f>IFERROR(IF(OR(C110="",D110=""),"",D110*VLOOKUP(C110,'Setup - Mix Design'!$A$5:$I$304,6,0)),"")</f>
        <v/>
      </c>
      <c r="K110" s="23">
        <f>IFERROR(IF(OR(C110="",D110=""),"",D110*VLOOKUP(C110,'Setup - Mix Design'!$A$5:$I$304,7,0)),"")</f>
        <v/>
      </c>
    </row>
    <row r="111">
      <c r="A111" s="26" t="n"/>
      <c r="B111" s="21" t="n"/>
      <c r="C111" s="21" t="n"/>
      <c r="D111" s="22" t="n"/>
      <c r="E111" s="21" t="n"/>
      <c r="F111" s="23">
        <f>IFERROR(IF(OR(C111="",D111=""),"",D111*VLOOKUP(C111,'Setup - Mix Design'!$A$5:$I$304,2,0)),"")</f>
        <v/>
      </c>
      <c r="G111" s="23">
        <f>IFERROR(IF(OR(C111="",D111=""),"",D111*VLOOKUP(C111,'Setup - Mix Design'!$A$5:$I$304,3,0)),"")</f>
        <v/>
      </c>
      <c r="H111" s="23">
        <f>IFERROR(IF(OR(C111="",D111=""),"",D111*VLOOKUP(C111,'Setup - Mix Design'!$A$5:$I$304,4,0)),"")</f>
        <v/>
      </c>
      <c r="I111" s="23">
        <f>IFERROR(IF(OR(C111="",D111=""),"",D111*VLOOKUP(C111,'Setup - Mix Design'!$A$5:$I$304,5,0)),"")</f>
        <v/>
      </c>
      <c r="J111" s="23">
        <f>IFERROR(IF(OR(C111="",D111=""),"",D111*VLOOKUP(C111,'Setup - Mix Design'!$A$5:$I$304,6,0)),"")</f>
        <v/>
      </c>
      <c r="K111" s="23">
        <f>IFERROR(IF(OR(C111="",D111=""),"",D111*VLOOKUP(C111,'Setup - Mix Design'!$A$5:$I$304,7,0)),"")</f>
        <v/>
      </c>
    </row>
    <row r="112">
      <c r="A112" s="26" t="n"/>
      <c r="B112" s="21" t="n"/>
      <c r="C112" s="21" t="n"/>
      <c r="D112" s="22" t="n"/>
      <c r="E112" s="21" t="n"/>
      <c r="F112" s="23">
        <f>IFERROR(IF(OR(C112="",D112=""),"",D112*VLOOKUP(C112,'Setup - Mix Design'!$A$5:$I$304,2,0)),"")</f>
        <v/>
      </c>
      <c r="G112" s="23">
        <f>IFERROR(IF(OR(C112="",D112=""),"",D112*VLOOKUP(C112,'Setup - Mix Design'!$A$5:$I$304,3,0)),"")</f>
        <v/>
      </c>
      <c r="H112" s="23">
        <f>IFERROR(IF(OR(C112="",D112=""),"",D112*VLOOKUP(C112,'Setup - Mix Design'!$A$5:$I$304,4,0)),"")</f>
        <v/>
      </c>
      <c r="I112" s="23">
        <f>IFERROR(IF(OR(C112="",D112=""),"",D112*VLOOKUP(C112,'Setup - Mix Design'!$A$5:$I$304,5,0)),"")</f>
        <v/>
      </c>
      <c r="J112" s="23">
        <f>IFERROR(IF(OR(C112="",D112=""),"",D112*VLOOKUP(C112,'Setup - Mix Design'!$A$5:$I$304,6,0)),"")</f>
        <v/>
      </c>
      <c r="K112" s="23">
        <f>IFERROR(IF(OR(C112="",D112=""),"",D112*VLOOKUP(C112,'Setup - Mix Design'!$A$5:$I$304,7,0)),"")</f>
        <v/>
      </c>
    </row>
    <row r="113">
      <c r="A113" s="26" t="n"/>
      <c r="B113" s="21" t="n"/>
      <c r="C113" s="21" t="n"/>
      <c r="D113" s="22" t="n"/>
      <c r="E113" s="21" t="n"/>
      <c r="F113" s="23">
        <f>IFERROR(IF(OR(C113="",D113=""),"",D113*VLOOKUP(C113,'Setup - Mix Design'!$A$5:$I$304,2,0)),"")</f>
        <v/>
      </c>
      <c r="G113" s="23">
        <f>IFERROR(IF(OR(C113="",D113=""),"",D113*VLOOKUP(C113,'Setup - Mix Design'!$A$5:$I$304,3,0)),"")</f>
        <v/>
      </c>
      <c r="H113" s="23">
        <f>IFERROR(IF(OR(C113="",D113=""),"",D113*VLOOKUP(C113,'Setup - Mix Design'!$A$5:$I$304,4,0)),"")</f>
        <v/>
      </c>
      <c r="I113" s="23">
        <f>IFERROR(IF(OR(C113="",D113=""),"",D113*VLOOKUP(C113,'Setup - Mix Design'!$A$5:$I$304,5,0)),"")</f>
        <v/>
      </c>
      <c r="J113" s="23">
        <f>IFERROR(IF(OR(C113="",D113=""),"",D113*VLOOKUP(C113,'Setup - Mix Design'!$A$5:$I$304,6,0)),"")</f>
        <v/>
      </c>
      <c r="K113" s="23">
        <f>IFERROR(IF(OR(C113="",D113=""),"",D113*VLOOKUP(C113,'Setup - Mix Design'!$A$5:$I$304,7,0)),"")</f>
        <v/>
      </c>
    </row>
    <row r="114">
      <c r="A114" s="26" t="n"/>
      <c r="B114" s="21" t="n"/>
      <c r="C114" s="21" t="n"/>
      <c r="D114" s="22" t="n"/>
      <c r="E114" s="21" t="n"/>
      <c r="F114" s="23">
        <f>IFERROR(IF(OR(C114="",D114=""),"",D114*VLOOKUP(C114,'Setup - Mix Design'!$A$5:$I$304,2,0)),"")</f>
        <v/>
      </c>
      <c r="G114" s="23">
        <f>IFERROR(IF(OR(C114="",D114=""),"",D114*VLOOKUP(C114,'Setup - Mix Design'!$A$5:$I$304,3,0)),"")</f>
        <v/>
      </c>
      <c r="H114" s="23">
        <f>IFERROR(IF(OR(C114="",D114=""),"",D114*VLOOKUP(C114,'Setup - Mix Design'!$A$5:$I$304,4,0)),"")</f>
        <v/>
      </c>
      <c r="I114" s="23">
        <f>IFERROR(IF(OR(C114="",D114=""),"",D114*VLOOKUP(C114,'Setup - Mix Design'!$A$5:$I$304,5,0)),"")</f>
        <v/>
      </c>
      <c r="J114" s="23">
        <f>IFERROR(IF(OR(C114="",D114=""),"",D114*VLOOKUP(C114,'Setup - Mix Design'!$A$5:$I$304,6,0)),"")</f>
        <v/>
      </c>
      <c r="K114" s="23">
        <f>IFERROR(IF(OR(C114="",D114=""),"",D114*VLOOKUP(C114,'Setup - Mix Design'!$A$5:$I$304,7,0)),"")</f>
        <v/>
      </c>
    </row>
    <row r="115">
      <c r="A115" s="26" t="n"/>
      <c r="B115" s="21" t="n"/>
      <c r="C115" s="21" t="n"/>
      <c r="D115" s="22" t="n"/>
      <c r="E115" s="21" t="n"/>
      <c r="F115" s="23">
        <f>IFERROR(IF(OR(C115="",D115=""),"",D115*VLOOKUP(C115,'Setup - Mix Design'!$A$5:$I$304,2,0)),"")</f>
        <v/>
      </c>
      <c r="G115" s="23">
        <f>IFERROR(IF(OR(C115="",D115=""),"",D115*VLOOKUP(C115,'Setup - Mix Design'!$A$5:$I$304,3,0)),"")</f>
        <v/>
      </c>
      <c r="H115" s="23">
        <f>IFERROR(IF(OR(C115="",D115=""),"",D115*VLOOKUP(C115,'Setup - Mix Design'!$A$5:$I$304,4,0)),"")</f>
        <v/>
      </c>
      <c r="I115" s="23">
        <f>IFERROR(IF(OR(C115="",D115=""),"",D115*VLOOKUP(C115,'Setup - Mix Design'!$A$5:$I$304,5,0)),"")</f>
        <v/>
      </c>
      <c r="J115" s="23">
        <f>IFERROR(IF(OR(C115="",D115=""),"",D115*VLOOKUP(C115,'Setup - Mix Design'!$A$5:$I$304,6,0)),"")</f>
        <v/>
      </c>
      <c r="K115" s="23">
        <f>IFERROR(IF(OR(C115="",D115=""),"",D115*VLOOKUP(C115,'Setup - Mix Design'!$A$5:$I$304,7,0)),"")</f>
        <v/>
      </c>
    </row>
    <row r="116">
      <c r="A116" s="26" t="n"/>
      <c r="B116" s="21" t="n"/>
      <c r="C116" s="21" t="n"/>
      <c r="D116" s="22" t="n"/>
      <c r="E116" s="21" t="n"/>
      <c r="F116" s="23">
        <f>IFERROR(IF(OR(C116="",D116=""),"",D116*VLOOKUP(C116,'Setup - Mix Design'!$A$5:$I$304,2,0)),"")</f>
        <v/>
      </c>
      <c r="G116" s="23">
        <f>IFERROR(IF(OR(C116="",D116=""),"",D116*VLOOKUP(C116,'Setup - Mix Design'!$A$5:$I$304,3,0)),"")</f>
        <v/>
      </c>
      <c r="H116" s="23">
        <f>IFERROR(IF(OR(C116="",D116=""),"",D116*VLOOKUP(C116,'Setup - Mix Design'!$A$5:$I$304,4,0)),"")</f>
        <v/>
      </c>
      <c r="I116" s="23">
        <f>IFERROR(IF(OR(C116="",D116=""),"",D116*VLOOKUP(C116,'Setup - Mix Design'!$A$5:$I$304,5,0)),"")</f>
        <v/>
      </c>
      <c r="J116" s="23">
        <f>IFERROR(IF(OR(C116="",D116=""),"",D116*VLOOKUP(C116,'Setup - Mix Design'!$A$5:$I$304,6,0)),"")</f>
        <v/>
      </c>
      <c r="K116" s="23">
        <f>IFERROR(IF(OR(C116="",D116=""),"",D116*VLOOKUP(C116,'Setup - Mix Design'!$A$5:$I$304,7,0)),"")</f>
        <v/>
      </c>
    </row>
    <row r="117">
      <c r="A117" s="26" t="n"/>
      <c r="B117" s="21" t="n"/>
      <c r="C117" s="21" t="n"/>
      <c r="D117" s="22" t="n"/>
      <c r="E117" s="21" t="n"/>
      <c r="F117" s="23">
        <f>IFERROR(IF(OR(C117="",D117=""),"",D117*VLOOKUP(C117,'Setup - Mix Design'!$A$5:$I$304,2,0)),"")</f>
        <v/>
      </c>
      <c r="G117" s="23">
        <f>IFERROR(IF(OR(C117="",D117=""),"",D117*VLOOKUP(C117,'Setup - Mix Design'!$A$5:$I$304,3,0)),"")</f>
        <v/>
      </c>
      <c r="H117" s="23">
        <f>IFERROR(IF(OR(C117="",D117=""),"",D117*VLOOKUP(C117,'Setup - Mix Design'!$A$5:$I$304,4,0)),"")</f>
        <v/>
      </c>
      <c r="I117" s="23">
        <f>IFERROR(IF(OR(C117="",D117=""),"",D117*VLOOKUP(C117,'Setup - Mix Design'!$A$5:$I$304,5,0)),"")</f>
        <v/>
      </c>
      <c r="J117" s="23">
        <f>IFERROR(IF(OR(C117="",D117=""),"",D117*VLOOKUP(C117,'Setup - Mix Design'!$A$5:$I$304,6,0)),"")</f>
        <v/>
      </c>
      <c r="K117" s="23">
        <f>IFERROR(IF(OR(C117="",D117=""),"",D117*VLOOKUP(C117,'Setup - Mix Design'!$A$5:$I$304,7,0)),"")</f>
        <v/>
      </c>
    </row>
    <row r="118">
      <c r="A118" s="26" t="n"/>
      <c r="B118" s="21" t="n"/>
      <c r="C118" s="21" t="n"/>
      <c r="D118" s="22" t="n"/>
      <c r="E118" s="21" t="n"/>
      <c r="F118" s="23">
        <f>IFERROR(IF(OR(C118="",D118=""),"",D118*VLOOKUP(C118,'Setup - Mix Design'!$A$5:$I$304,2,0)),"")</f>
        <v/>
      </c>
      <c r="G118" s="23">
        <f>IFERROR(IF(OR(C118="",D118=""),"",D118*VLOOKUP(C118,'Setup - Mix Design'!$A$5:$I$304,3,0)),"")</f>
        <v/>
      </c>
      <c r="H118" s="23">
        <f>IFERROR(IF(OR(C118="",D118=""),"",D118*VLOOKUP(C118,'Setup - Mix Design'!$A$5:$I$304,4,0)),"")</f>
        <v/>
      </c>
      <c r="I118" s="23">
        <f>IFERROR(IF(OR(C118="",D118=""),"",D118*VLOOKUP(C118,'Setup - Mix Design'!$A$5:$I$304,5,0)),"")</f>
        <v/>
      </c>
      <c r="J118" s="23">
        <f>IFERROR(IF(OR(C118="",D118=""),"",D118*VLOOKUP(C118,'Setup - Mix Design'!$A$5:$I$304,6,0)),"")</f>
        <v/>
      </c>
      <c r="K118" s="23">
        <f>IFERROR(IF(OR(C118="",D118=""),"",D118*VLOOKUP(C118,'Setup - Mix Design'!$A$5:$I$304,7,0)),"")</f>
        <v/>
      </c>
    </row>
    <row r="119">
      <c r="A119" s="26" t="n"/>
      <c r="B119" s="21" t="n"/>
      <c r="C119" s="21" t="n"/>
      <c r="D119" s="22" t="n"/>
      <c r="E119" s="21" t="n"/>
      <c r="F119" s="23">
        <f>IFERROR(IF(OR(C119="",D119=""),"",D119*VLOOKUP(C119,'Setup - Mix Design'!$A$5:$I$304,2,0)),"")</f>
        <v/>
      </c>
      <c r="G119" s="23">
        <f>IFERROR(IF(OR(C119="",D119=""),"",D119*VLOOKUP(C119,'Setup - Mix Design'!$A$5:$I$304,3,0)),"")</f>
        <v/>
      </c>
      <c r="H119" s="23">
        <f>IFERROR(IF(OR(C119="",D119=""),"",D119*VLOOKUP(C119,'Setup - Mix Design'!$A$5:$I$304,4,0)),"")</f>
        <v/>
      </c>
      <c r="I119" s="23">
        <f>IFERROR(IF(OR(C119="",D119=""),"",D119*VLOOKUP(C119,'Setup - Mix Design'!$A$5:$I$304,5,0)),"")</f>
        <v/>
      </c>
      <c r="J119" s="23">
        <f>IFERROR(IF(OR(C119="",D119=""),"",D119*VLOOKUP(C119,'Setup - Mix Design'!$A$5:$I$304,6,0)),"")</f>
        <v/>
      </c>
      <c r="K119" s="23">
        <f>IFERROR(IF(OR(C119="",D119=""),"",D119*VLOOKUP(C119,'Setup - Mix Design'!$A$5:$I$304,7,0)),"")</f>
        <v/>
      </c>
    </row>
    <row r="120">
      <c r="A120" s="26" t="n"/>
      <c r="B120" s="21" t="n"/>
      <c r="C120" s="21" t="n"/>
      <c r="D120" s="22" t="n"/>
      <c r="E120" s="21" t="n"/>
      <c r="F120" s="23">
        <f>IFERROR(IF(OR(C120="",D120=""),"",D120*VLOOKUP(C120,'Setup - Mix Design'!$A$5:$I$304,2,0)),"")</f>
        <v/>
      </c>
      <c r="G120" s="23">
        <f>IFERROR(IF(OR(C120="",D120=""),"",D120*VLOOKUP(C120,'Setup - Mix Design'!$A$5:$I$304,3,0)),"")</f>
        <v/>
      </c>
      <c r="H120" s="23">
        <f>IFERROR(IF(OR(C120="",D120=""),"",D120*VLOOKUP(C120,'Setup - Mix Design'!$A$5:$I$304,4,0)),"")</f>
        <v/>
      </c>
      <c r="I120" s="23">
        <f>IFERROR(IF(OR(C120="",D120=""),"",D120*VLOOKUP(C120,'Setup - Mix Design'!$A$5:$I$304,5,0)),"")</f>
        <v/>
      </c>
      <c r="J120" s="23">
        <f>IFERROR(IF(OR(C120="",D120=""),"",D120*VLOOKUP(C120,'Setup - Mix Design'!$A$5:$I$304,6,0)),"")</f>
        <v/>
      </c>
      <c r="K120" s="23">
        <f>IFERROR(IF(OR(C120="",D120=""),"",D120*VLOOKUP(C120,'Setup - Mix Design'!$A$5:$I$304,7,0)),"")</f>
        <v/>
      </c>
    </row>
    <row r="121">
      <c r="A121" s="26" t="n"/>
      <c r="B121" s="21" t="n"/>
      <c r="C121" s="21" t="n"/>
      <c r="D121" s="22" t="n"/>
      <c r="E121" s="21" t="n"/>
      <c r="F121" s="23">
        <f>IFERROR(IF(OR(C121="",D121=""),"",D121*VLOOKUP(C121,'Setup - Mix Design'!$A$5:$I$304,2,0)),"")</f>
        <v/>
      </c>
      <c r="G121" s="23">
        <f>IFERROR(IF(OR(C121="",D121=""),"",D121*VLOOKUP(C121,'Setup - Mix Design'!$A$5:$I$304,3,0)),"")</f>
        <v/>
      </c>
      <c r="H121" s="23">
        <f>IFERROR(IF(OR(C121="",D121=""),"",D121*VLOOKUP(C121,'Setup - Mix Design'!$A$5:$I$304,4,0)),"")</f>
        <v/>
      </c>
      <c r="I121" s="23">
        <f>IFERROR(IF(OR(C121="",D121=""),"",D121*VLOOKUP(C121,'Setup - Mix Design'!$A$5:$I$304,5,0)),"")</f>
        <v/>
      </c>
      <c r="J121" s="23">
        <f>IFERROR(IF(OR(C121="",D121=""),"",D121*VLOOKUP(C121,'Setup - Mix Design'!$A$5:$I$304,6,0)),"")</f>
        <v/>
      </c>
      <c r="K121" s="23">
        <f>IFERROR(IF(OR(C121="",D121=""),"",D121*VLOOKUP(C121,'Setup - Mix Design'!$A$5:$I$304,7,0)),"")</f>
        <v/>
      </c>
    </row>
    <row r="122">
      <c r="A122" s="26" t="n"/>
      <c r="B122" s="21" t="n"/>
      <c r="C122" s="21" t="n"/>
      <c r="D122" s="22" t="n"/>
      <c r="E122" s="21" t="n"/>
      <c r="F122" s="23">
        <f>IFERROR(IF(OR(C122="",D122=""),"",D122*VLOOKUP(C122,'Setup - Mix Design'!$A$5:$I$304,2,0)),"")</f>
        <v/>
      </c>
      <c r="G122" s="23">
        <f>IFERROR(IF(OR(C122="",D122=""),"",D122*VLOOKUP(C122,'Setup - Mix Design'!$A$5:$I$304,3,0)),"")</f>
        <v/>
      </c>
      <c r="H122" s="23">
        <f>IFERROR(IF(OR(C122="",D122=""),"",D122*VLOOKUP(C122,'Setup - Mix Design'!$A$5:$I$304,4,0)),"")</f>
        <v/>
      </c>
      <c r="I122" s="23">
        <f>IFERROR(IF(OR(C122="",D122=""),"",D122*VLOOKUP(C122,'Setup - Mix Design'!$A$5:$I$304,5,0)),"")</f>
        <v/>
      </c>
      <c r="J122" s="23">
        <f>IFERROR(IF(OR(C122="",D122=""),"",D122*VLOOKUP(C122,'Setup - Mix Design'!$A$5:$I$304,6,0)),"")</f>
        <v/>
      </c>
      <c r="K122" s="23">
        <f>IFERROR(IF(OR(C122="",D122=""),"",D122*VLOOKUP(C122,'Setup - Mix Design'!$A$5:$I$304,7,0)),"")</f>
        <v/>
      </c>
    </row>
    <row r="123">
      <c r="A123" s="26" t="n"/>
      <c r="B123" s="21" t="n"/>
      <c r="C123" s="21" t="n"/>
      <c r="D123" s="22" t="n"/>
      <c r="E123" s="21" t="n"/>
      <c r="F123" s="23">
        <f>IFERROR(IF(OR(C123="",D123=""),"",D123*VLOOKUP(C123,'Setup - Mix Design'!$A$5:$I$304,2,0)),"")</f>
        <v/>
      </c>
      <c r="G123" s="23">
        <f>IFERROR(IF(OR(C123="",D123=""),"",D123*VLOOKUP(C123,'Setup - Mix Design'!$A$5:$I$304,3,0)),"")</f>
        <v/>
      </c>
      <c r="H123" s="23">
        <f>IFERROR(IF(OR(C123="",D123=""),"",D123*VLOOKUP(C123,'Setup - Mix Design'!$A$5:$I$304,4,0)),"")</f>
        <v/>
      </c>
      <c r="I123" s="23">
        <f>IFERROR(IF(OR(C123="",D123=""),"",D123*VLOOKUP(C123,'Setup - Mix Design'!$A$5:$I$304,5,0)),"")</f>
        <v/>
      </c>
      <c r="J123" s="23">
        <f>IFERROR(IF(OR(C123="",D123=""),"",D123*VLOOKUP(C123,'Setup - Mix Design'!$A$5:$I$304,6,0)),"")</f>
        <v/>
      </c>
      <c r="K123" s="23">
        <f>IFERROR(IF(OR(C123="",D123=""),"",D123*VLOOKUP(C123,'Setup - Mix Design'!$A$5:$I$304,7,0)),"")</f>
        <v/>
      </c>
    </row>
    <row r="124">
      <c r="A124" s="26" t="n"/>
      <c r="B124" s="21" t="n"/>
      <c r="C124" s="21" t="n"/>
      <c r="D124" s="22" t="n"/>
      <c r="E124" s="21" t="n"/>
      <c r="F124" s="23">
        <f>IFERROR(IF(OR(C124="",D124=""),"",D124*VLOOKUP(C124,'Setup - Mix Design'!$A$5:$I$304,2,0)),"")</f>
        <v/>
      </c>
      <c r="G124" s="23">
        <f>IFERROR(IF(OR(C124="",D124=""),"",D124*VLOOKUP(C124,'Setup - Mix Design'!$A$5:$I$304,3,0)),"")</f>
        <v/>
      </c>
      <c r="H124" s="23">
        <f>IFERROR(IF(OR(C124="",D124=""),"",D124*VLOOKUP(C124,'Setup - Mix Design'!$A$5:$I$304,4,0)),"")</f>
        <v/>
      </c>
      <c r="I124" s="23">
        <f>IFERROR(IF(OR(C124="",D124=""),"",D124*VLOOKUP(C124,'Setup - Mix Design'!$A$5:$I$304,5,0)),"")</f>
        <v/>
      </c>
      <c r="J124" s="23">
        <f>IFERROR(IF(OR(C124="",D124=""),"",D124*VLOOKUP(C124,'Setup - Mix Design'!$A$5:$I$304,6,0)),"")</f>
        <v/>
      </c>
      <c r="K124" s="23">
        <f>IFERROR(IF(OR(C124="",D124=""),"",D124*VLOOKUP(C124,'Setup - Mix Design'!$A$5:$I$304,7,0)),"")</f>
        <v/>
      </c>
    </row>
    <row r="125">
      <c r="A125" s="26" t="n"/>
      <c r="B125" s="21" t="n"/>
      <c r="C125" s="21" t="n"/>
      <c r="D125" s="22" t="n"/>
      <c r="E125" s="21" t="n"/>
      <c r="F125" s="23">
        <f>IFERROR(IF(OR(C125="",D125=""),"",D125*VLOOKUP(C125,'Setup - Mix Design'!$A$5:$I$304,2,0)),"")</f>
        <v/>
      </c>
      <c r="G125" s="23">
        <f>IFERROR(IF(OR(C125="",D125=""),"",D125*VLOOKUP(C125,'Setup - Mix Design'!$A$5:$I$304,3,0)),"")</f>
        <v/>
      </c>
      <c r="H125" s="23">
        <f>IFERROR(IF(OR(C125="",D125=""),"",D125*VLOOKUP(C125,'Setup - Mix Design'!$A$5:$I$304,4,0)),"")</f>
        <v/>
      </c>
      <c r="I125" s="23">
        <f>IFERROR(IF(OR(C125="",D125=""),"",D125*VLOOKUP(C125,'Setup - Mix Design'!$A$5:$I$304,5,0)),"")</f>
        <v/>
      </c>
      <c r="J125" s="23">
        <f>IFERROR(IF(OR(C125="",D125=""),"",D125*VLOOKUP(C125,'Setup - Mix Design'!$A$5:$I$304,6,0)),"")</f>
        <v/>
      </c>
      <c r="K125" s="23">
        <f>IFERROR(IF(OR(C125="",D125=""),"",D125*VLOOKUP(C125,'Setup - Mix Design'!$A$5:$I$304,7,0)),"")</f>
        <v/>
      </c>
    </row>
    <row r="126">
      <c r="A126" s="26" t="n"/>
      <c r="B126" s="21" t="n"/>
      <c r="C126" s="21" t="n"/>
      <c r="D126" s="22" t="n"/>
      <c r="E126" s="21" t="n"/>
      <c r="F126" s="23">
        <f>IFERROR(IF(OR(C126="",D126=""),"",D126*VLOOKUP(C126,'Setup - Mix Design'!$A$5:$I$304,2,0)),"")</f>
        <v/>
      </c>
      <c r="G126" s="23">
        <f>IFERROR(IF(OR(C126="",D126=""),"",D126*VLOOKUP(C126,'Setup - Mix Design'!$A$5:$I$304,3,0)),"")</f>
        <v/>
      </c>
      <c r="H126" s="23">
        <f>IFERROR(IF(OR(C126="",D126=""),"",D126*VLOOKUP(C126,'Setup - Mix Design'!$A$5:$I$304,4,0)),"")</f>
        <v/>
      </c>
      <c r="I126" s="23">
        <f>IFERROR(IF(OR(C126="",D126=""),"",D126*VLOOKUP(C126,'Setup - Mix Design'!$A$5:$I$304,5,0)),"")</f>
        <v/>
      </c>
      <c r="J126" s="23">
        <f>IFERROR(IF(OR(C126="",D126=""),"",D126*VLOOKUP(C126,'Setup - Mix Design'!$A$5:$I$304,6,0)),"")</f>
        <v/>
      </c>
      <c r="K126" s="23">
        <f>IFERROR(IF(OR(C126="",D126=""),"",D126*VLOOKUP(C126,'Setup - Mix Design'!$A$5:$I$304,7,0)),"")</f>
        <v/>
      </c>
    </row>
    <row r="127">
      <c r="A127" s="26" t="n"/>
      <c r="B127" s="21" t="n"/>
      <c r="C127" s="21" t="n"/>
      <c r="D127" s="22" t="n"/>
      <c r="E127" s="21" t="n"/>
      <c r="F127" s="23">
        <f>IFERROR(IF(OR(C127="",D127=""),"",D127*VLOOKUP(C127,'Setup - Mix Design'!$A$5:$I$304,2,0)),"")</f>
        <v/>
      </c>
      <c r="G127" s="23">
        <f>IFERROR(IF(OR(C127="",D127=""),"",D127*VLOOKUP(C127,'Setup - Mix Design'!$A$5:$I$304,3,0)),"")</f>
        <v/>
      </c>
      <c r="H127" s="23">
        <f>IFERROR(IF(OR(C127="",D127=""),"",D127*VLOOKUP(C127,'Setup - Mix Design'!$A$5:$I$304,4,0)),"")</f>
        <v/>
      </c>
      <c r="I127" s="23">
        <f>IFERROR(IF(OR(C127="",D127=""),"",D127*VLOOKUP(C127,'Setup - Mix Design'!$A$5:$I$304,5,0)),"")</f>
        <v/>
      </c>
      <c r="J127" s="23">
        <f>IFERROR(IF(OR(C127="",D127=""),"",D127*VLOOKUP(C127,'Setup - Mix Design'!$A$5:$I$304,6,0)),"")</f>
        <v/>
      </c>
      <c r="K127" s="23">
        <f>IFERROR(IF(OR(C127="",D127=""),"",D127*VLOOKUP(C127,'Setup - Mix Design'!$A$5:$I$304,7,0)),"")</f>
        <v/>
      </c>
    </row>
    <row r="128">
      <c r="A128" s="26" t="n"/>
      <c r="B128" s="21" t="n"/>
      <c r="C128" s="21" t="n"/>
      <c r="D128" s="22" t="n"/>
      <c r="E128" s="21" t="n"/>
      <c r="F128" s="23">
        <f>IFERROR(IF(OR(C128="",D128=""),"",D128*VLOOKUP(C128,'Setup - Mix Design'!$A$5:$I$304,2,0)),"")</f>
        <v/>
      </c>
      <c r="G128" s="23">
        <f>IFERROR(IF(OR(C128="",D128=""),"",D128*VLOOKUP(C128,'Setup - Mix Design'!$A$5:$I$304,3,0)),"")</f>
        <v/>
      </c>
      <c r="H128" s="23">
        <f>IFERROR(IF(OR(C128="",D128=""),"",D128*VLOOKUP(C128,'Setup - Mix Design'!$A$5:$I$304,4,0)),"")</f>
        <v/>
      </c>
      <c r="I128" s="23">
        <f>IFERROR(IF(OR(C128="",D128=""),"",D128*VLOOKUP(C128,'Setup - Mix Design'!$A$5:$I$304,5,0)),"")</f>
        <v/>
      </c>
      <c r="J128" s="23">
        <f>IFERROR(IF(OR(C128="",D128=""),"",D128*VLOOKUP(C128,'Setup - Mix Design'!$A$5:$I$304,6,0)),"")</f>
        <v/>
      </c>
      <c r="K128" s="23">
        <f>IFERROR(IF(OR(C128="",D128=""),"",D128*VLOOKUP(C128,'Setup - Mix Design'!$A$5:$I$304,7,0)),"")</f>
        <v/>
      </c>
    </row>
    <row r="129">
      <c r="A129" s="26" t="n"/>
      <c r="B129" s="21" t="n"/>
      <c r="C129" s="21" t="n"/>
      <c r="D129" s="22" t="n"/>
      <c r="E129" s="21" t="n"/>
      <c r="F129" s="23">
        <f>IFERROR(IF(OR(C129="",D129=""),"",D129*VLOOKUP(C129,'Setup - Mix Design'!$A$5:$I$304,2,0)),"")</f>
        <v/>
      </c>
      <c r="G129" s="23">
        <f>IFERROR(IF(OR(C129="",D129=""),"",D129*VLOOKUP(C129,'Setup - Mix Design'!$A$5:$I$304,3,0)),"")</f>
        <v/>
      </c>
      <c r="H129" s="23">
        <f>IFERROR(IF(OR(C129="",D129=""),"",D129*VLOOKUP(C129,'Setup - Mix Design'!$A$5:$I$304,4,0)),"")</f>
        <v/>
      </c>
      <c r="I129" s="23">
        <f>IFERROR(IF(OR(C129="",D129=""),"",D129*VLOOKUP(C129,'Setup - Mix Design'!$A$5:$I$304,5,0)),"")</f>
        <v/>
      </c>
      <c r="J129" s="23">
        <f>IFERROR(IF(OR(C129="",D129=""),"",D129*VLOOKUP(C129,'Setup - Mix Design'!$A$5:$I$304,6,0)),"")</f>
        <v/>
      </c>
      <c r="K129" s="23">
        <f>IFERROR(IF(OR(C129="",D129=""),"",D129*VLOOKUP(C129,'Setup - Mix Design'!$A$5:$I$304,7,0)),"")</f>
        <v/>
      </c>
    </row>
    <row r="130">
      <c r="A130" s="26" t="n"/>
      <c r="B130" s="21" t="n"/>
      <c r="C130" s="21" t="n"/>
      <c r="D130" s="22" t="n"/>
      <c r="E130" s="21" t="n"/>
      <c r="F130" s="23">
        <f>IFERROR(IF(OR(C130="",D130=""),"",D130*VLOOKUP(C130,'Setup - Mix Design'!$A$5:$I$304,2,0)),"")</f>
        <v/>
      </c>
      <c r="G130" s="23">
        <f>IFERROR(IF(OR(C130="",D130=""),"",D130*VLOOKUP(C130,'Setup - Mix Design'!$A$5:$I$304,3,0)),"")</f>
        <v/>
      </c>
      <c r="H130" s="23">
        <f>IFERROR(IF(OR(C130="",D130=""),"",D130*VLOOKUP(C130,'Setup - Mix Design'!$A$5:$I$304,4,0)),"")</f>
        <v/>
      </c>
      <c r="I130" s="23">
        <f>IFERROR(IF(OR(C130="",D130=""),"",D130*VLOOKUP(C130,'Setup - Mix Design'!$A$5:$I$304,5,0)),"")</f>
        <v/>
      </c>
      <c r="J130" s="23">
        <f>IFERROR(IF(OR(C130="",D130=""),"",D130*VLOOKUP(C130,'Setup - Mix Design'!$A$5:$I$304,6,0)),"")</f>
        <v/>
      </c>
      <c r="K130" s="23">
        <f>IFERROR(IF(OR(C130="",D130=""),"",D130*VLOOKUP(C130,'Setup - Mix Design'!$A$5:$I$304,7,0)),"")</f>
        <v/>
      </c>
    </row>
    <row r="131">
      <c r="A131" s="26" t="n"/>
      <c r="B131" s="21" t="n"/>
      <c r="C131" s="21" t="n"/>
      <c r="D131" s="22" t="n"/>
      <c r="E131" s="21" t="n"/>
      <c r="F131" s="23">
        <f>IFERROR(IF(OR(C131="",D131=""),"",D131*VLOOKUP(C131,'Setup - Mix Design'!$A$5:$I$304,2,0)),"")</f>
        <v/>
      </c>
      <c r="G131" s="23">
        <f>IFERROR(IF(OR(C131="",D131=""),"",D131*VLOOKUP(C131,'Setup - Mix Design'!$A$5:$I$304,3,0)),"")</f>
        <v/>
      </c>
      <c r="H131" s="23">
        <f>IFERROR(IF(OR(C131="",D131=""),"",D131*VLOOKUP(C131,'Setup - Mix Design'!$A$5:$I$304,4,0)),"")</f>
        <v/>
      </c>
      <c r="I131" s="23">
        <f>IFERROR(IF(OR(C131="",D131=""),"",D131*VLOOKUP(C131,'Setup - Mix Design'!$A$5:$I$304,5,0)),"")</f>
        <v/>
      </c>
      <c r="J131" s="23">
        <f>IFERROR(IF(OR(C131="",D131=""),"",D131*VLOOKUP(C131,'Setup - Mix Design'!$A$5:$I$304,6,0)),"")</f>
        <v/>
      </c>
      <c r="K131" s="23">
        <f>IFERROR(IF(OR(C131="",D131=""),"",D131*VLOOKUP(C131,'Setup - Mix Design'!$A$5:$I$304,7,0)),"")</f>
        <v/>
      </c>
    </row>
    <row r="132">
      <c r="A132" s="26" t="n"/>
      <c r="B132" s="21" t="n"/>
      <c r="C132" s="21" t="n"/>
      <c r="D132" s="22" t="n"/>
      <c r="E132" s="21" t="n"/>
      <c r="F132" s="23">
        <f>IFERROR(IF(OR(C132="",D132=""),"",D132*VLOOKUP(C132,'Setup - Mix Design'!$A$5:$I$304,2,0)),"")</f>
        <v/>
      </c>
      <c r="G132" s="23">
        <f>IFERROR(IF(OR(C132="",D132=""),"",D132*VLOOKUP(C132,'Setup - Mix Design'!$A$5:$I$304,3,0)),"")</f>
        <v/>
      </c>
      <c r="H132" s="23">
        <f>IFERROR(IF(OR(C132="",D132=""),"",D132*VLOOKUP(C132,'Setup - Mix Design'!$A$5:$I$304,4,0)),"")</f>
        <v/>
      </c>
      <c r="I132" s="23">
        <f>IFERROR(IF(OR(C132="",D132=""),"",D132*VLOOKUP(C132,'Setup - Mix Design'!$A$5:$I$304,5,0)),"")</f>
        <v/>
      </c>
      <c r="J132" s="23">
        <f>IFERROR(IF(OR(C132="",D132=""),"",D132*VLOOKUP(C132,'Setup - Mix Design'!$A$5:$I$304,6,0)),"")</f>
        <v/>
      </c>
      <c r="K132" s="23">
        <f>IFERROR(IF(OR(C132="",D132=""),"",D132*VLOOKUP(C132,'Setup - Mix Design'!$A$5:$I$304,7,0)),"")</f>
        <v/>
      </c>
    </row>
    <row r="133">
      <c r="A133" s="26" t="n"/>
      <c r="B133" s="21" t="n"/>
      <c r="C133" s="21" t="n"/>
      <c r="D133" s="22" t="n"/>
      <c r="E133" s="21" t="n"/>
      <c r="F133" s="23">
        <f>IFERROR(IF(OR(C133="",D133=""),"",D133*VLOOKUP(C133,'Setup - Mix Design'!$A$5:$I$304,2,0)),"")</f>
        <v/>
      </c>
      <c r="G133" s="23">
        <f>IFERROR(IF(OR(C133="",D133=""),"",D133*VLOOKUP(C133,'Setup - Mix Design'!$A$5:$I$304,3,0)),"")</f>
        <v/>
      </c>
      <c r="H133" s="23">
        <f>IFERROR(IF(OR(C133="",D133=""),"",D133*VLOOKUP(C133,'Setup - Mix Design'!$A$5:$I$304,4,0)),"")</f>
        <v/>
      </c>
      <c r="I133" s="23">
        <f>IFERROR(IF(OR(C133="",D133=""),"",D133*VLOOKUP(C133,'Setup - Mix Design'!$A$5:$I$304,5,0)),"")</f>
        <v/>
      </c>
      <c r="J133" s="23">
        <f>IFERROR(IF(OR(C133="",D133=""),"",D133*VLOOKUP(C133,'Setup - Mix Design'!$A$5:$I$304,6,0)),"")</f>
        <v/>
      </c>
      <c r="K133" s="23">
        <f>IFERROR(IF(OR(C133="",D133=""),"",D133*VLOOKUP(C133,'Setup - Mix Design'!$A$5:$I$304,7,0)),"")</f>
        <v/>
      </c>
    </row>
    <row r="134">
      <c r="A134" s="26" t="n"/>
      <c r="B134" s="21" t="n"/>
      <c r="C134" s="21" t="n"/>
      <c r="D134" s="22" t="n"/>
      <c r="E134" s="21" t="n"/>
      <c r="F134" s="23">
        <f>IFERROR(IF(OR(C134="",D134=""),"",D134*VLOOKUP(C134,'Setup - Mix Design'!$A$5:$I$304,2,0)),"")</f>
        <v/>
      </c>
      <c r="G134" s="23">
        <f>IFERROR(IF(OR(C134="",D134=""),"",D134*VLOOKUP(C134,'Setup - Mix Design'!$A$5:$I$304,3,0)),"")</f>
        <v/>
      </c>
      <c r="H134" s="23">
        <f>IFERROR(IF(OR(C134="",D134=""),"",D134*VLOOKUP(C134,'Setup - Mix Design'!$A$5:$I$304,4,0)),"")</f>
        <v/>
      </c>
      <c r="I134" s="23">
        <f>IFERROR(IF(OR(C134="",D134=""),"",D134*VLOOKUP(C134,'Setup - Mix Design'!$A$5:$I$304,5,0)),"")</f>
        <v/>
      </c>
      <c r="J134" s="23">
        <f>IFERROR(IF(OR(C134="",D134=""),"",D134*VLOOKUP(C134,'Setup - Mix Design'!$A$5:$I$304,6,0)),"")</f>
        <v/>
      </c>
      <c r="K134" s="23">
        <f>IFERROR(IF(OR(C134="",D134=""),"",D134*VLOOKUP(C134,'Setup - Mix Design'!$A$5:$I$304,7,0)),"")</f>
        <v/>
      </c>
    </row>
    <row r="135">
      <c r="A135" s="26" t="n"/>
      <c r="B135" s="21" t="n"/>
      <c r="C135" s="21" t="n"/>
      <c r="D135" s="22" t="n"/>
      <c r="E135" s="21" t="n"/>
      <c r="F135" s="23">
        <f>IFERROR(IF(OR(C135="",D135=""),"",D135*VLOOKUP(C135,'Setup - Mix Design'!$A$5:$I$304,2,0)),"")</f>
        <v/>
      </c>
      <c r="G135" s="23">
        <f>IFERROR(IF(OR(C135="",D135=""),"",D135*VLOOKUP(C135,'Setup - Mix Design'!$A$5:$I$304,3,0)),"")</f>
        <v/>
      </c>
      <c r="H135" s="23">
        <f>IFERROR(IF(OR(C135="",D135=""),"",D135*VLOOKUP(C135,'Setup - Mix Design'!$A$5:$I$304,4,0)),"")</f>
        <v/>
      </c>
      <c r="I135" s="23">
        <f>IFERROR(IF(OR(C135="",D135=""),"",D135*VLOOKUP(C135,'Setup - Mix Design'!$A$5:$I$304,5,0)),"")</f>
        <v/>
      </c>
      <c r="J135" s="23">
        <f>IFERROR(IF(OR(C135="",D135=""),"",D135*VLOOKUP(C135,'Setup - Mix Design'!$A$5:$I$304,6,0)),"")</f>
        <v/>
      </c>
      <c r="K135" s="23">
        <f>IFERROR(IF(OR(C135="",D135=""),"",D135*VLOOKUP(C135,'Setup - Mix Design'!$A$5:$I$304,7,0)),"")</f>
        <v/>
      </c>
    </row>
    <row r="136">
      <c r="A136" s="26" t="n"/>
      <c r="B136" s="21" t="n"/>
      <c r="C136" s="21" t="n"/>
      <c r="D136" s="22" t="n"/>
      <c r="E136" s="21" t="n"/>
      <c r="F136" s="23">
        <f>IFERROR(IF(OR(C136="",D136=""),"",D136*VLOOKUP(C136,'Setup - Mix Design'!$A$5:$I$304,2,0)),"")</f>
        <v/>
      </c>
      <c r="G136" s="23">
        <f>IFERROR(IF(OR(C136="",D136=""),"",D136*VLOOKUP(C136,'Setup - Mix Design'!$A$5:$I$304,3,0)),"")</f>
        <v/>
      </c>
      <c r="H136" s="23">
        <f>IFERROR(IF(OR(C136="",D136=""),"",D136*VLOOKUP(C136,'Setup - Mix Design'!$A$5:$I$304,4,0)),"")</f>
        <v/>
      </c>
      <c r="I136" s="23">
        <f>IFERROR(IF(OR(C136="",D136=""),"",D136*VLOOKUP(C136,'Setup - Mix Design'!$A$5:$I$304,5,0)),"")</f>
        <v/>
      </c>
      <c r="J136" s="23">
        <f>IFERROR(IF(OR(C136="",D136=""),"",D136*VLOOKUP(C136,'Setup - Mix Design'!$A$5:$I$304,6,0)),"")</f>
        <v/>
      </c>
      <c r="K136" s="23">
        <f>IFERROR(IF(OR(C136="",D136=""),"",D136*VLOOKUP(C136,'Setup - Mix Design'!$A$5:$I$304,7,0)),"")</f>
        <v/>
      </c>
    </row>
    <row r="137">
      <c r="A137" s="26" t="n"/>
      <c r="B137" s="21" t="n"/>
      <c r="C137" s="21" t="n"/>
      <c r="D137" s="22" t="n"/>
      <c r="E137" s="21" t="n"/>
      <c r="F137" s="23">
        <f>IFERROR(IF(OR(C137="",D137=""),"",D137*VLOOKUP(C137,'Setup - Mix Design'!$A$5:$I$304,2,0)),"")</f>
        <v/>
      </c>
      <c r="G137" s="23">
        <f>IFERROR(IF(OR(C137="",D137=""),"",D137*VLOOKUP(C137,'Setup - Mix Design'!$A$5:$I$304,3,0)),"")</f>
        <v/>
      </c>
      <c r="H137" s="23">
        <f>IFERROR(IF(OR(C137="",D137=""),"",D137*VLOOKUP(C137,'Setup - Mix Design'!$A$5:$I$304,4,0)),"")</f>
        <v/>
      </c>
      <c r="I137" s="23">
        <f>IFERROR(IF(OR(C137="",D137=""),"",D137*VLOOKUP(C137,'Setup - Mix Design'!$A$5:$I$304,5,0)),"")</f>
        <v/>
      </c>
      <c r="J137" s="23">
        <f>IFERROR(IF(OR(C137="",D137=""),"",D137*VLOOKUP(C137,'Setup - Mix Design'!$A$5:$I$304,6,0)),"")</f>
        <v/>
      </c>
      <c r="K137" s="23">
        <f>IFERROR(IF(OR(C137="",D137=""),"",D137*VLOOKUP(C137,'Setup - Mix Design'!$A$5:$I$304,7,0)),"")</f>
        <v/>
      </c>
    </row>
    <row r="138">
      <c r="A138" s="26" t="n"/>
      <c r="B138" s="21" t="n"/>
      <c r="C138" s="21" t="n"/>
      <c r="D138" s="22" t="n"/>
      <c r="E138" s="21" t="n"/>
      <c r="F138" s="23">
        <f>IFERROR(IF(OR(C138="",D138=""),"",D138*VLOOKUP(C138,'Setup - Mix Design'!$A$5:$I$304,2,0)),"")</f>
        <v/>
      </c>
      <c r="G138" s="23">
        <f>IFERROR(IF(OR(C138="",D138=""),"",D138*VLOOKUP(C138,'Setup - Mix Design'!$A$5:$I$304,3,0)),"")</f>
        <v/>
      </c>
      <c r="H138" s="23">
        <f>IFERROR(IF(OR(C138="",D138=""),"",D138*VLOOKUP(C138,'Setup - Mix Design'!$A$5:$I$304,4,0)),"")</f>
        <v/>
      </c>
      <c r="I138" s="23">
        <f>IFERROR(IF(OR(C138="",D138=""),"",D138*VLOOKUP(C138,'Setup - Mix Design'!$A$5:$I$304,5,0)),"")</f>
        <v/>
      </c>
      <c r="J138" s="23">
        <f>IFERROR(IF(OR(C138="",D138=""),"",D138*VLOOKUP(C138,'Setup - Mix Design'!$A$5:$I$304,6,0)),"")</f>
        <v/>
      </c>
      <c r="K138" s="23">
        <f>IFERROR(IF(OR(C138="",D138=""),"",D138*VLOOKUP(C138,'Setup - Mix Design'!$A$5:$I$304,7,0)),"")</f>
        <v/>
      </c>
    </row>
    <row r="139">
      <c r="A139" s="26" t="n"/>
      <c r="B139" s="21" t="n"/>
      <c r="C139" s="21" t="n"/>
      <c r="D139" s="22" t="n"/>
      <c r="E139" s="21" t="n"/>
      <c r="F139" s="23">
        <f>IFERROR(IF(OR(C139="",D139=""),"",D139*VLOOKUP(C139,'Setup - Mix Design'!$A$5:$I$304,2,0)),"")</f>
        <v/>
      </c>
      <c r="G139" s="23">
        <f>IFERROR(IF(OR(C139="",D139=""),"",D139*VLOOKUP(C139,'Setup - Mix Design'!$A$5:$I$304,3,0)),"")</f>
        <v/>
      </c>
      <c r="H139" s="23">
        <f>IFERROR(IF(OR(C139="",D139=""),"",D139*VLOOKUP(C139,'Setup - Mix Design'!$A$5:$I$304,4,0)),"")</f>
        <v/>
      </c>
      <c r="I139" s="23">
        <f>IFERROR(IF(OR(C139="",D139=""),"",D139*VLOOKUP(C139,'Setup - Mix Design'!$A$5:$I$304,5,0)),"")</f>
        <v/>
      </c>
      <c r="J139" s="23">
        <f>IFERROR(IF(OR(C139="",D139=""),"",D139*VLOOKUP(C139,'Setup - Mix Design'!$A$5:$I$304,6,0)),"")</f>
        <v/>
      </c>
      <c r="K139" s="23">
        <f>IFERROR(IF(OR(C139="",D139=""),"",D139*VLOOKUP(C139,'Setup - Mix Design'!$A$5:$I$304,7,0)),"")</f>
        <v/>
      </c>
    </row>
    <row r="140">
      <c r="A140" s="26" t="n"/>
      <c r="B140" s="21" t="n"/>
      <c r="C140" s="21" t="n"/>
      <c r="D140" s="22" t="n"/>
      <c r="E140" s="21" t="n"/>
      <c r="F140" s="23">
        <f>IFERROR(IF(OR(C140="",D140=""),"",D140*VLOOKUP(C140,'Setup - Mix Design'!$A$5:$I$304,2,0)),"")</f>
        <v/>
      </c>
      <c r="G140" s="23">
        <f>IFERROR(IF(OR(C140="",D140=""),"",D140*VLOOKUP(C140,'Setup - Mix Design'!$A$5:$I$304,3,0)),"")</f>
        <v/>
      </c>
      <c r="H140" s="23">
        <f>IFERROR(IF(OR(C140="",D140=""),"",D140*VLOOKUP(C140,'Setup - Mix Design'!$A$5:$I$304,4,0)),"")</f>
        <v/>
      </c>
      <c r="I140" s="23">
        <f>IFERROR(IF(OR(C140="",D140=""),"",D140*VLOOKUP(C140,'Setup - Mix Design'!$A$5:$I$304,5,0)),"")</f>
        <v/>
      </c>
      <c r="J140" s="23">
        <f>IFERROR(IF(OR(C140="",D140=""),"",D140*VLOOKUP(C140,'Setup - Mix Design'!$A$5:$I$304,6,0)),"")</f>
        <v/>
      </c>
      <c r="K140" s="23">
        <f>IFERROR(IF(OR(C140="",D140=""),"",D140*VLOOKUP(C140,'Setup - Mix Design'!$A$5:$I$304,7,0)),"")</f>
        <v/>
      </c>
    </row>
    <row r="141">
      <c r="A141" s="26" t="n"/>
      <c r="B141" s="21" t="n"/>
      <c r="C141" s="21" t="n"/>
      <c r="D141" s="22" t="n"/>
      <c r="E141" s="21" t="n"/>
      <c r="F141" s="23">
        <f>IFERROR(IF(OR(C141="",D141=""),"",D141*VLOOKUP(C141,'Setup - Mix Design'!$A$5:$I$304,2,0)),"")</f>
        <v/>
      </c>
      <c r="G141" s="23">
        <f>IFERROR(IF(OR(C141="",D141=""),"",D141*VLOOKUP(C141,'Setup - Mix Design'!$A$5:$I$304,3,0)),"")</f>
        <v/>
      </c>
      <c r="H141" s="23">
        <f>IFERROR(IF(OR(C141="",D141=""),"",D141*VLOOKUP(C141,'Setup - Mix Design'!$A$5:$I$304,4,0)),"")</f>
        <v/>
      </c>
      <c r="I141" s="23">
        <f>IFERROR(IF(OR(C141="",D141=""),"",D141*VLOOKUP(C141,'Setup - Mix Design'!$A$5:$I$304,5,0)),"")</f>
        <v/>
      </c>
      <c r="J141" s="23">
        <f>IFERROR(IF(OR(C141="",D141=""),"",D141*VLOOKUP(C141,'Setup - Mix Design'!$A$5:$I$304,6,0)),"")</f>
        <v/>
      </c>
      <c r="K141" s="23">
        <f>IFERROR(IF(OR(C141="",D141=""),"",D141*VLOOKUP(C141,'Setup - Mix Design'!$A$5:$I$304,7,0)),"")</f>
        <v/>
      </c>
    </row>
    <row r="142">
      <c r="A142" s="26" t="n"/>
      <c r="B142" s="21" t="n"/>
      <c r="C142" s="21" t="n"/>
      <c r="D142" s="22" t="n"/>
      <c r="E142" s="21" t="n"/>
      <c r="F142" s="23">
        <f>IFERROR(IF(OR(C142="",D142=""),"",D142*VLOOKUP(C142,'Setup - Mix Design'!$A$5:$I$304,2,0)),"")</f>
        <v/>
      </c>
      <c r="G142" s="23">
        <f>IFERROR(IF(OR(C142="",D142=""),"",D142*VLOOKUP(C142,'Setup - Mix Design'!$A$5:$I$304,3,0)),"")</f>
        <v/>
      </c>
      <c r="H142" s="23">
        <f>IFERROR(IF(OR(C142="",D142=""),"",D142*VLOOKUP(C142,'Setup - Mix Design'!$A$5:$I$304,4,0)),"")</f>
        <v/>
      </c>
      <c r="I142" s="23">
        <f>IFERROR(IF(OR(C142="",D142=""),"",D142*VLOOKUP(C142,'Setup - Mix Design'!$A$5:$I$304,5,0)),"")</f>
        <v/>
      </c>
      <c r="J142" s="23">
        <f>IFERROR(IF(OR(C142="",D142=""),"",D142*VLOOKUP(C142,'Setup - Mix Design'!$A$5:$I$304,6,0)),"")</f>
        <v/>
      </c>
      <c r="K142" s="23">
        <f>IFERROR(IF(OR(C142="",D142=""),"",D142*VLOOKUP(C142,'Setup - Mix Design'!$A$5:$I$304,7,0)),"")</f>
        <v/>
      </c>
    </row>
    <row r="143">
      <c r="A143" s="26" t="n"/>
      <c r="B143" s="21" t="n"/>
      <c r="C143" s="21" t="n"/>
      <c r="D143" s="22" t="n"/>
      <c r="E143" s="21" t="n"/>
      <c r="F143" s="23">
        <f>IFERROR(IF(OR(C143="",D143=""),"",D143*VLOOKUP(C143,'Setup - Mix Design'!$A$5:$I$304,2,0)),"")</f>
        <v/>
      </c>
      <c r="G143" s="23">
        <f>IFERROR(IF(OR(C143="",D143=""),"",D143*VLOOKUP(C143,'Setup - Mix Design'!$A$5:$I$304,3,0)),"")</f>
        <v/>
      </c>
      <c r="H143" s="23">
        <f>IFERROR(IF(OR(C143="",D143=""),"",D143*VLOOKUP(C143,'Setup - Mix Design'!$A$5:$I$304,4,0)),"")</f>
        <v/>
      </c>
      <c r="I143" s="23">
        <f>IFERROR(IF(OR(C143="",D143=""),"",D143*VLOOKUP(C143,'Setup - Mix Design'!$A$5:$I$304,5,0)),"")</f>
        <v/>
      </c>
      <c r="J143" s="23">
        <f>IFERROR(IF(OR(C143="",D143=""),"",D143*VLOOKUP(C143,'Setup - Mix Design'!$A$5:$I$304,6,0)),"")</f>
        <v/>
      </c>
      <c r="K143" s="23">
        <f>IFERROR(IF(OR(C143="",D143=""),"",D143*VLOOKUP(C143,'Setup - Mix Design'!$A$5:$I$304,7,0)),"")</f>
        <v/>
      </c>
    </row>
    <row r="144">
      <c r="A144" s="26" t="n"/>
      <c r="B144" s="21" t="n"/>
      <c r="C144" s="21" t="n"/>
      <c r="D144" s="22" t="n"/>
      <c r="E144" s="21" t="n"/>
      <c r="F144" s="23">
        <f>IFERROR(IF(OR(C144="",D144=""),"",D144*VLOOKUP(C144,'Setup - Mix Design'!$A$5:$I$304,2,0)),"")</f>
        <v/>
      </c>
      <c r="G144" s="23">
        <f>IFERROR(IF(OR(C144="",D144=""),"",D144*VLOOKUP(C144,'Setup - Mix Design'!$A$5:$I$304,3,0)),"")</f>
        <v/>
      </c>
      <c r="H144" s="23">
        <f>IFERROR(IF(OR(C144="",D144=""),"",D144*VLOOKUP(C144,'Setup - Mix Design'!$A$5:$I$304,4,0)),"")</f>
        <v/>
      </c>
      <c r="I144" s="23">
        <f>IFERROR(IF(OR(C144="",D144=""),"",D144*VLOOKUP(C144,'Setup - Mix Design'!$A$5:$I$304,5,0)),"")</f>
        <v/>
      </c>
      <c r="J144" s="23">
        <f>IFERROR(IF(OR(C144="",D144=""),"",D144*VLOOKUP(C144,'Setup - Mix Design'!$A$5:$I$304,6,0)),"")</f>
        <v/>
      </c>
      <c r="K144" s="23">
        <f>IFERROR(IF(OR(C144="",D144=""),"",D144*VLOOKUP(C144,'Setup - Mix Design'!$A$5:$I$304,7,0)),"")</f>
        <v/>
      </c>
    </row>
    <row r="145">
      <c r="A145" s="26" t="n"/>
      <c r="B145" s="21" t="n"/>
      <c r="C145" s="21" t="n"/>
      <c r="D145" s="22" t="n"/>
      <c r="E145" s="21" t="n"/>
      <c r="F145" s="23">
        <f>IFERROR(IF(OR(C145="",D145=""),"",D145*VLOOKUP(C145,'Setup - Mix Design'!$A$5:$I$304,2,0)),"")</f>
        <v/>
      </c>
      <c r="G145" s="23">
        <f>IFERROR(IF(OR(C145="",D145=""),"",D145*VLOOKUP(C145,'Setup - Mix Design'!$A$5:$I$304,3,0)),"")</f>
        <v/>
      </c>
      <c r="H145" s="23">
        <f>IFERROR(IF(OR(C145="",D145=""),"",D145*VLOOKUP(C145,'Setup - Mix Design'!$A$5:$I$304,4,0)),"")</f>
        <v/>
      </c>
      <c r="I145" s="23">
        <f>IFERROR(IF(OR(C145="",D145=""),"",D145*VLOOKUP(C145,'Setup - Mix Design'!$A$5:$I$304,5,0)),"")</f>
        <v/>
      </c>
      <c r="J145" s="23">
        <f>IFERROR(IF(OR(C145="",D145=""),"",D145*VLOOKUP(C145,'Setup - Mix Design'!$A$5:$I$304,6,0)),"")</f>
        <v/>
      </c>
      <c r="K145" s="23">
        <f>IFERROR(IF(OR(C145="",D145=""),"",D145*VLOOKUP(C145,'Setup - Mix Design'!$A$5:$I$304,7,0)),"")</f>
        <v/>
      </c>
    </row>
    <row r="146">
      <c r="A146" s="26" t="n"/>
      <c r="B146" s="21" t="n"/>
      <c r="C146" s="21" t="n"/>
      <c r="D146" s="22" t="n"/>
      <c r="E146" s="21" t="n"/>
      <c r="F146" s="23">
        <f>IFERROR(IF(OR(C146="",D146=""),"",D146*VLOOKUP(C146,'Setup - Mix Design'!$A$5:$I$304,2,0)),"")</f>
        <v/>
      </c>
      <c r="G146" s="23">
        <f>IFERROR(IF(OR(C146="",D146=""),"",D146*VLOOKUP(C146,'Setup - Mix Design'!$A$5:$I$304,3,0)),"")</f>
        <v/>
      </c>
      <c r="H146" s="23">
        <f>IFERROR(IF(OR(C146="",D146=""),"",D146*VLOOKUP(C146,'Setup - Mix Design'!$A$5:$I$304,4,0)),"")</f>
        <v/>
      </c>
      <c r="I146" s="23">
        <f>IFERROR(IF(OR(C146="",D146=""),"",D146*VLOOKUP(C146,'Setup - Mix Design'!$A$5:$I$304,5,0)),"")</f>
        <v/>
      </c>
      <c r="J146" s="23">
        <f>IFERROR(IF(OR(C146="",D146=""),"",D146*VLOOKUP(C146,'Setup - Mix Design'!$A$5:$I$304,6,0)),"")</f>
        <v/>
      </c>
      <c r="K146" s="23">
        <f>IFERROR(IF(OR(C146="",D146=""),"",D146*VLOOKUP(C146,'Setup - Mix Design'!$A$5:$I$304,7,0)),"")</f>
        <v/>
      </c>
    </row>
    <row r="147">
      <c r="A147" s="26" t="n"/>
      <c r="B147" s="21" t="n"/>
      <c r="C147" s="21" t="n"/>
      <c r="D147" s="22" t="n"/>
      <c r="E147" s="21" t="n"/>
      <c r="F147" s="23">
        <f>IFERROR(IF(OR(C147="",D147=""),"",D147*VLOOKUP(C147,'Setup - Mix Design'!$A$5:$I$304,2,0)),"")</f>
        <v/>
      </c>
      <c r="G147" s="23">
        <f>IFERROR(IF(OR(C147="",D147=""),"",D147*VLOOKUP(C147,'Setup - Mix Design'!$A$5:$I$304,3,0)),"")</f>
        <v/>
      </c>
      <c r="H147" s="23">
        <f>IFERROR(IF(OR(C147="",D147=""),"",D147*VLOOKUP(C147,'Setup - Mix Design'!$A$5:$I$304,4,0)),"")</f>
        <v/>
      </c>
      <c r="I147" s="23">
        <f>IFERROR(IF(OR(C147="",D147=""),"",D147*VLOOKUP(C147,'Setup - Mix Design'!$A$5:$I$304,5,0)),"")</f>
        <v/>
      </c>
      <c r="J147" s="23">
        <f>IFERROR(IF(OR(C147="",D147=""),"",D147*VLOOKUP(C147,'Setup - Mix Design'!$A$5:$I$304,6,0)),"")</f>
        <v/>
      </c>
      <c r="K147" s="23">
        <f>IFERROR(IF(OR(C147="",D147=""),"",D147*VLOOKUP(C147,'Setup - Mix Design'!$A$5:$I$304,7,0)),"")</f>
        <v/>
      </c>
    </row>
    <row r="148">
      <c r="A148" s="26" t="n"/>
      <c r="B148" s="21" t="n"/>
      <c r="C148" s="21" t="n"/>
      <c r="D148" s="22" t="n"/>
      <c r="E148" s="21" t="n"/>
      <c r="F148" s="23">
        <f>IFERROR(IF(OR(C148="",D148=""),"",D148*VLOOKUP(C148,'Setup - Mix Design'!$A$5:$I$304,2,0)),"")</f>
        <v/>
      </c>
      <c r="G148" s="23">
        <f>IFERROR(IF(OR(C148="",D148=""),"",D148*VLOOKUP(C148,'Setup - Mix Design'!$A$5:$I$304,3,0)),"")</f>
        <v/>
      </c>
      <c r="H148" s="23">
        <f>IFERROR(IF(OR(C148="",D148=""),"",D148*VLOOKUP(C148,'Setup - Mix Design'!$A$5:$I$304,4,0)),"")</f>
        <v/>
      </c>
      <c r="I148" s="23">
        <f>IFERROR(IF(OR(C148="",D148=""),"",D148*VLOOKUP(C148,'Setup - Mix Design'!$A$5:$I$304,5,0)),"")</f>
        <v/>
      </c>
      <c r="J148" s="23">
        <f>IFERROR(IF(OR(C148="",D148=""),"",D148*VLOOKUP(C148,'Setup - Mix Design'!$A$5:$I$304,6,0)),"")</f>
        <v/>
      </c>
      <c r="K148" s="23">
        <f>IFERROR(IF(OR(C148="",D148=""),"",D148*VLOOKUP(C148,'Setup - Mix Design'!$A$5:$I$304,7,0)),"")</f>
        <v/>
      </c>
    </row>
    <row r="149">
      <c r="A149" s="26" t="n"/>
      <c r="B149" s="21" t="n"/>
      <c r="C149" s="21" t="n"/>
      <c r="D149" s="22" t="n"/>
      <c r="E149" s="21" t="n"/>
      <c r="F149" s="23">
        <f>IFERROR(IF(OR(C149="",D149=""),"",D149*VLOOKUP(C149,'Setup - Mix Design'!$A$5:$I$304,2,0)),"")</f>
        <v/>
      </c>
      <c r="G149" s="23">
        <f>IFERROR(IF(OR(C149="",D149=""),"",D149*VLOOKUP(C149,'Setup - Mix Design'!$A$5:$I$304,3,0)),"")</f>
        <v/>
      </c>
      <c r="H149" s="23">
        <f>IFERROR(IF(OR(C149="",D149=""),"",D149*VLOOKUP(C149,'Setup - Mix Design'!$A$5:$I$304,4,0)),"")</f>
        <v/>
      </c>
      <c r="I149" s="23">
        <f>IFERROR(IF(OR(C149="",D149=""),"",D149*VLOOKUP(C149,'Setup - Mix Design'!$A$5:$I$304,5,0)),"")</f>
        <v/>
      </c>
      <c r="J149" s="23">
        <f>IFERROR(IF(OR(C149="",D149=""),"",D149*VLOOKUP(C149,'Setup - Mix Design'!$A$5:$I$304,6,0)),"")</f>
        <v/>
      </c>
      <c r="K149" s="23">
        <f>IFERROR(IF(OR(C149="",D149=""),"",D149*VLOOKUP(C149,'Setup - Mix Design'!$A$5:$I$304,7,0)),"")</f>
        <v/>
      </c>
    </row>
    <row r="150">
      <c r="A150" s="26" t="n"/>
      <c r="B150" s="21" t="n"/>
      <c r="C150" s="21" t="n"/>
      <c r="D150" s="22" t="n"/>
      <c r="E150" s="21" t="n"/>
      <c r="F150" s="23">
        <f>IFERROR(IF(OR(C150="",D150=""),"",D150*VLOOKUP(C150,'Setup - Mix Design'!$A$5:$I$304,2,0)),"")</f>
        <v/>
      </c>
      <c r="G150" s="23">
        <f>IFERROR(IF(OR(C150="",D150=""),"",D150*VLOOKUP(C150,'Setup - Mix Design'!$A$5:$I$304,3,0)),"")</f>
        <v/>
      </c>
      <c r="H150" s="23">
        <f>IFERROR(IF(OR(C150="",D150=""),"",D150*VLOOKUP(C150,'Setup - Mix Design'!$A$5:$I$304,4,0)),"")</f>
        <v/>
      </c>
      <c r="I150" s="23">
        <f>IFERROR(IF(OR(C150="",D150=""),"",D150*VLOOKUP(C150,'Setup - Mix Design'!$A$5:$I$304,5,0)),"")</f>
        <v/>
      </c>
      <c r="J150" s="23">
        <f>IFERROR(IF(OR(C150="",D150=""),"",D150*VLOOKUP(C150,'Setup - Mix Design'!$A$5:$I$304,6,0)),"")</f>
        <v/>
      </c>
      <c r="K150" s="23">
        <f>IFERROR(IF(OR(C150="",D150=""),"",D150*VLOOKUP(C150,'Setup - Mix Design'!$A$5:$I$304,7,0)),"")</f>
        <v/>
      </c>
    </row>
    <row r="151">
      <c r="A151" s="26" t="n"/>
      <c r="B151" s="21" t="n"/>
      <c r="C151" s="21" t="n"/>
      <c r="D151" s="22" t="n"/>
      <c r="E151" s="21" t="n"/>
      <c r="F151" s="23">
        <f>IFERROR(IF(OR(C151="",D151=""),"",D151*VLOOKUP(C151,'Setup - Mix Design'!$A$5:$I$304,2,0)),"")</f>
        <v/>
      </c>
      <c r="G151" s="23">
        <f>IFERROR(IF(OR(C151="",D151=""),"",D151*VLOOKUP(C151,'Setup - Mix Design'!$A$5:$I$304,3,0)),"")</f>
        <v/>
      </c>
      <c r="H151" s="23">
        <f>IFERROR(IF(OR(C151="",D151=""),"",D151*VLOOKUP(C151,'Setup - Mix Design'!$A$5:$I$304,4,0)),"")</f>
        <v/>
      </c>
      <c r="I151" s="23">
        <f>IFERROR(IF(OR(C151="",D151=""),"",D151*VLOOKUP(C151,'Setup - Mix Design'!$A$5:$I$304,5,0)),"")</f>
        <v/>
      </c>
      <c r="J151" s="23">
        <f>IFERROR(IF(OR(C151="",D151=""),"",D151*VLOOKUP(C151,'Setup - Mix Design'!$A$5:$I$304,6,0)),"")</f>
        <v/>
      </c>
      <c r="K151" s="23">
        <f>IFERROR(IF(OR(C151="",D151=""),"",D151*VLOOKUP(C151,'Setup - Mix Design'!$A$5:$I$304,7,0)),"")</f>
        <v/>
      </c>
    </row>
    <row r="152">
      <c r="A152" s="26" t="n"/>
      <c r="B152" s="21" t="n"/>
      <c r="C152" s="21" t="n"/>
      <c r="D152" s="22" t="n"/>
      <c r="E152" s="21" t="n"/>
      <c r="F152" s="23">
        <f>IFERROR(IF(OR(C152="",D152=""),"",D152*VLOOKUP(C152,'Setup - Mix Design'!$A$5:$I$304,2,0)),"")</f>
        <v/>
      </c>
      <c r="G152" s="23">
        <f>IFERROR(IF(OR(C152="",D152=""),"",D152*VLOOKUP(C152,'Setup - Mix Design'!$A$5:$I$304,3,0)),"")</f>
        <v/>
      </c>
      <c r="H152" s="23">
        <f>IFERROR(IF(OR(C152="",D152=""),"",D152*VLOOKUP(C152,'Setup - Mix Design'!$A$5:$I$304,4,0)),"")</f>
        <v/>
      </c>
      <c r="I152" s="23">
        <f>IFERROR(IF(OR(C152="",D152=""),"",D152*VLOOKUP(C152,'Setup - Mix Design'!$A$5:$I$304,5,0)),"")</f>
        <v/>
      </c>
      <c r="J152" s="23">
        <f>IFERROR(IF(OR(C152="",D152=""),"",D152*VLOOKUP(C152,'Setup - Mix Design'!$A$5:$I$304,6,0)),"")</f>
        <v/>
      </c>
      <c r="K152" s="23">
        <f>IFERROR(IF(OR(C152="",D152=""),"",D152*VLOOKUP(C152,'Setup - Mix Design'!$A$5:$I$304,7,0)),"")</f>
        <v/>
      </c>
    </row>
    <row r="153">
      <c r="A153" s="26" t="n"/>
      <c r="B153" s="21" t="n"/>
      <c r="C153" s="21" t="n"/>
      <c r="D153" s="22" t="n"/>
      <c r="E153" s="21" t="n"/>
      <c r="F153" s="23">
        <f>IFERROR(IF(OR(C153="",D153=""),"",D153*VLOOKUP(C153,'Setup - Mix Design'!$A$5:$I$304,2,0)),"")</f>
        <v/>
      </c>
      <c r="G153" s="23">
        <f>IFERROR(IF(OR(C153="",D153=""),"",D153*VLOOKUP(C153,'Setup - Mix Design'!$A$5:$I$304,3,0)),"")</f>
        <v/>
      </c>
      <c r="H153" s="23">
        <f>IFERROR(IF(OR(C153="",D153=""),"",D153*VLOOKUP(C153,'Setup - Mix Design'!$A$5:$I$304,4,0)),"")</f>
        <v/>
      </c>
      <c r="I153" s="23">
        <f>IFERROR(IF(OR(C153="",D153=""),"",D153*VLOOKUP(C153,'Setup - Mix Design'!$A$5:$I$304,5,0)),"")</f>
        <v/>
      </c>
      <c r="J153" s="23">
        <f>IFERROR(IF(OR(C153="",D153=""),"",D153*VLOOKUP(C153,'Setup - Mix Design'!$A$5:$I$304,6,0)),"")</f>
        <v/>
      </c>
      <c r="K153" s="23">
        <f>IFERROR(IF(OR(C153="",D153=""),"",D153*VLOOKUP(C153,'Setup - Mix Design'!$A$5:$I$304,7,0)),"")</f>
        <v/>
      </c>
    </row>
    <row r="154">
      <c r="A154" s="26" t="n"/>
      <c r="B154" s="21" t="n"/>
      <c r="C154" s="21" t="n"/>
      <c r="D154" s="22" t="n"/>
      <c r="E154" s="21" t="n"/>
      <c r="F154" s="23">
        <f>IFERROR(IF(OR(C154="",D154=""),"",D154*VLOOKUP(C154,'Setup - Mix Design'!$A$5:$I$304,2,0)),"")</f>
        <v/>
      </c>
      <c r="G154" s="23">
        <f>IFERROR(IF(OR(C154="",D154=""),"",D154*VLOOKUP(C154,'Setup - Mix Design'!$A$5:$I$304,3,0)),"")</f>
        <v/>
      </c>
      <c r="H154" s="23">
        <f>IFERROR(IF(OR(C154="",D154=""),"",D154*VLOOKUP(C154,'Setup - Mix Design'!$A$5:$I$304,4,0)),"")</f>
        <v/>
      </c>
      <c r="I154" s="23">
        <f>IFERROR(IF(OR(C154="",D154=""),"",D154*VLOOKUP(C154,'Setup - Mix Design'!$A$5:$I$304,5,0)),"")</f>
        <v/>
      </c>
      <c r="J154" s="23">
        <f>IFERROR(IF(OR(C154="",D154=""),"",D154*VLOOKUP(C154,'Setup - Mix Design'!$A$5:$I$304,6,0)),"")</f>
        <v/>
      </c>
      <c r="K154" s="23">
        <f>IFERROR(IF(OR(C154="",D154=""),"",D154*VLOOKUP(C154,'Setup - Mix Design'!$A$5:$I$304,7,0)),"")</f>
        <v/>
      </c>
    </row>
    <row r="155">
      <c r="A155" s="26" t="n"/>
      <c r="B155" s="21" t="n"/>
      <c r="C155" s="21" t="n"/>
      <c r="D155" s="22" t="n"/>
      <c r="E155" s="21" t="n"/>
      <c r="F155" s="23">
        <f>IFERROR(IF(OR(C155="",D155=""),"",D155*VLOOKUP(C155,'Setup - Mix Design'!$A$5:$I$304,2,0)),"")</f>
        <v/>
      </c>
      <c r="G155" s="23">
        <f>IFERROR(IF(OR(C155="",D155=""),"",D155*VLOOKUP(C155,'Setup - Mix Design'!$A$5:$I$304,3,0)),"")</f>
        <v/>
      </c>
      <c r="H155" s="23">
        <f>IFERROR(IF(OR(C155="",D155=""),"",D155*VLOOKUP(C155,'Setup - Mix Design'!$A$5:$I$304,4,0)),"")</f>
        <v/>
      </c>
      <c r="I155" s="23">
        <f>IFERROR(IF(OR(C155="",D155=""),"",D155*VLOOKUP(C155,'Setup - Mix Design'!$A$5:$I$304,5,0)),"")</f>
        <v/>
      </c>
      <c r="J155" s="23">
        <f>IFERROR(IF(OR(C155="",D155=""),"",D155*VLOOKUP(C155,'Setup - Mix Design'!$A$5:$I$304,6,0)),"")</f>
        <v/>
      </c>
      <c r="K155" s="23">
        <f>IFERROR(IF(OR(C155="",D155=""),"",D155*VLOOKUP(C155,'Setup - Mix Design'!$A$5:$I$304,7,0)),"")</f>
        <v/>
      </c>
    </row>
    <row r="156">
      <c r="A156" s="26" t="n"/>
      <c r="B156" s="21" t="n"/>
      <c r="C156" s="21" t="n"/>
      <c r="D156" s="22" t="n"/>
      <c r="E156" s="21" t="n"/>
      <c r="F156" s="23">
        <f>IFERROR(IF(OR(C156="",D156=""),"",D156*VLOOKUP(C156,'Setup - Mix Design'!$A$5:$I$304,2,0)),"")</f>
        <v/>
      </c>
      <c r="G156" s="23">
        <f>IFERROR(IF(OR(C156="",D156=""),"",D156*VLOOKUP(C156,'Setup - Mix Design'!$A$5:$I$304,3,0)),"")</f>
        <v/>
      </c>
      <c r="H156" s="23">
        <f>IFERROR(IF(OR(C156="",D156=""),"",D156*VLOOKUP(C156,'Setup - Mix Design'!$A$5:$I$304,4,0)),"")</f>
        <v/>
      </c>
      <c r="I156" s="23">
        <f>IFERROR(IF(OR(C156="",D156=""),"",D156*VLOOKUP(C156,'Setup - Mix Design'!$A$5:$I$304,5,0)),"")</f>
        <v/>
      </c>
      <c r="J156" s="23">
        <f>IFERROR(IF(OR(C156="",D156=""),"",D156*VLOOKUP(C156,'Setup - Mix Design'!$A$5:$I$304,6,0)),"")</f>
        <v/>
      </c>
      <c r="K156" s="23">
        <f>IFERROR(IF(OR(C156="",D156=""),"",D156*VLOOKUP(C156,'Setup - Mix Design'!$A$5:$I$304,7,0)),"")</f>
        <v/>
      </c>
    </row>
    <row r="157">
      <c r="A157" s="26" t="n"/>
      <c r="B157" s="21" t="n"/>
      <c r="C157" s="21" t="n"/>
      <c r="D157" s="22" t="n"/>
      <c r="E157" s="21" t="n"/>
      <c r="F157" s="23">
        <f>IFERROR(IF(OR(C157="",D157=""),"",D157*VLOOKUP(C157,'Setup - Mix Design'!$A$5:$I$304,2,0)),"")</f>
        <v/>
      </c>
      <c r="G157" s="23">
        <f>IFERROR(IF(OR(C157="",D157=""),"",D157*VLOOKUP(C157,'Setup - Mix Design'!$A$5:$I$304,3,0)),"")</f>
        <v/>
      </c>
      <c r="H157" s="23">
        <f>IFERROR(IF(OR(C157="",D157=""),"",D157*VLOOKUP(C157,'Setup - Mix Design'!$A$5:$I$304,4,0)),"")</f>
        <v/>
      </c>
      <c r="I157" s="23">
        <f>IFERROR(IF(OR(C157="",D157=""),"",D157*VLOOKUP(C157,'Setup - Mix Design'!$A$5:$I$304,5,0)),"")</f>
        <v/>
      </c>
      <c r="J157" s="23">
        <f>IFERROR(IF(OR(C157="",D157=""),"",D157*VLOOKUP(C157,'Setup - Mix Design'!$A$5:$I$304,6,0)),"")</f>
        <v/>
      </c>
      <c r="K157" s="23">
        <f>IFERROR(IF(OR(C157="",D157=""),"",D157*VLOOKUP(C157,'Setup - Mix Design'!$A$5:$I$304,7,0)),"")</f>
        <v/>
      </c>
    </row>
    <row r="158">
      <c r="A158" s="26" t="n"/>
      <c r="B158" s="21" t="n"/>
      <c r="C158" s="21" t="n"/>
      <c r="D158" s="22" t="n"/>
      <c r="E158" s="21" t="n"/>
      <c r="F158" s="23">
        <f>IFERROR(IF(OR(C158="",D158=""),"",D158*VLOOKUP(C158,'Setup - Mix Design'!$A$5:$I$304,2,0)),"")</f>
        <v/>
      </c>
      <c r="G158" s="23">
        <f>IFERROR(IF(OR(C158="",D158=""),"",D158*VLOOKUP(C158,'Setup - Mix Design'!$A$5:$I$304,3,0)),"")</f>
        <v/>
      </c>
      <c r="H158" s="23">
        <f>IFERROR(IF(OR(C158="",D158=""),"",D158*VLOOKUP(C158,'Setup - Mix Design'!$A$5:$I$304,4,0)),"")</f>
        <v/>
      </c>
      <c r="I158" s="23">
        <f>IFERROR(IF(OR(C158="",D158=""),"",D158*VLOOKUP(C158,'Setup - Mix Design'!$A$5:$I$304,5,0)),"")</f>
        <v/>
      </c>
      <c r="J158" s="23">
        <f>IFERROR(IF(OR(C158="",D158=""),"",D158*VLOOKUP(C158,'Setup - Mix Design'!$A$5:$I$304,6,0)),"")</f>
        <v/>
      </c>
      <c r="K158" s="23">
        <f>IFERROR(IF(OR(C158="",D158=""),"",D158*VLOOKUP(C158,'Setup - Mix Design'!$A$5:$I$304,7,0)),"")</f>
        <v/>
      </c>
    </row>
    <row r="159">
      <c r="A159" s="26" t="n"/>
      <c r="B159" s="21" t="n"/>
      <c r="C159" s="21" t="n"/>
      <c r="D159" s="22" t="n"/>
      <c r="E159" s="21" t="n"/>
      <c r="F159" s="23">
        <f>IFERROR(IF(OR(C159="",D159=""),"",D159*VLOOKUP(C159,'Setup - Mix Design'!$A$5:$I$304,2,0)),"")</f>
        <v/>
      </c>
      <c r="G159" s="23">
        <f>IFERROR(IF(OR(C159="",D159=""),"",D159*VLOOKUP(C159,'Setup - Mix Design'!$A$5:$I$304,3,0)),"")</f>
        <v/>
      </c>
      <c r="H159" s="23">
        <f>IFERROR(IF(OR(C159="",D159=""),"",D159*VLOOKUP(C159,'Setup - Mix Design'!$A$5:$I$304,4,0)),"")</f>
        <v/>
      </c>
      <c r="I159" s="23">
        <f>IFERROR(IF(OR(C159="",D159=""),"",D159*VLOOKUP(C159,'Setup - Mix Design'!$A$5:$I$304,5,0)),"")</f>
        <v/>
      </c>
      <c r="J159" s="23">
        <f>IFERROR(IF(OR(C159="",D159=""),"",D159*VLOOKUP(C159,'Setup - Mix Design'!$A$5:$I$304,6,0)),"")</f>
        <v/>
      </c>
      <c r="K159" s="23">
        <f>IFERROR(IF(OR(C159="",D159=""),"",D159*VLOOKUP(C159,'Setup - Mix Design'!$A$5:$I$304,7,0)),"")</f>
        <v/>
      </c>
    </row>
    <row r="160">
      <c r="A160" s="26" t="n"/>
      <c r="B160" s="21" t="n"/>
      <c r="C160" s="21" t="n"/>
      <c r="D160" s="22" t="n"/>
      <c r="E160" s="21" t="n"/>
      <c r="F160" s="23">
        <f>IFERROR(IF(OR(C160="",D160=""),"",D160*VLOOKUP(C160,'Setup - Mix Design'!$A$5:$I$304,2,0)),"")</f>
        <v/>
      </c>
      <c r="G160" s="23">
        <f>IFERROR(IF(OR(C160="",D160=""),"",D160*VLOOKUP(C160,'Setup - Mix Design'!$A$5:$I$304,3,0)),"")</f>
        <v/>
      </c>
      <c r="H160" s="23">
        <f>IFERROR(IF(OR(C160="",D160=""),"",D160*VLOOKUP(C160,'Setup - Mix Design'!$A$5:$I$304,4,0)),"")</f>
        <v/>
      </c>
      <c r="I160" s="23">
        <f>IFERROR(IF(OR(C160="",D160=""),"",D160*VLOOKUP(C160,'Setup - Mix Design'!$A$5:$I$304,5,0)),"")</f>
        <v/>
      </c>
      <c r="J160" s="23">
        <f>IFERROR(IF(OR(C160="",D160=""),"",D160*VLOOKUP(C160,'Setup - Mix Design'!$A$5:$I$304,6,0)),"")</f>
        <v/>
      </c>
      <c r="K160" s="23">
        <f>IFERROR(IF(OR(C160="",D160=""),"",D160*VLOOKUP(C160,'Setup - Mix Design'!$A$5:$I$304,7,0)),"")</f>
        <v/>
      </c>
    </row>
    <row r="161">
      <c r="A161" s="26" t="n"/>
      <c r="B161" s="21" t="n"/>
      <c r="C161" s="21" t="n"/>
      <c r="D161" s="22" t="n"/>
      <c r="E161" s="21" t="n"/>
      <c r="F161" s="23">
        <f>IFERROR(IF(OR(C161="",D161=""),"",D161*VLOOKUP(C161,'Setup - Mix Design'!$A$5:$I$304,2,0)),"")</f>
        <v/>
      </c>
      <c r="G161" s="23">
        <f>IFERROR(IF(OR(C161="",D161=""),"",D161*VLOOKUP(C161,'Setup - Mix Design'!$A$5:$I$304,3,0)),"")</f>
        <v/>
      </c>
      <c r="H161" s="23">
        <f>IFERROR(IF(OR(C161="",D161=""),"",D161*VLOOKUP(C161,'Setup - Mix Design'!$A$5:$I$304,4,0)),"")</f>
        <v/>
      </c>
      <c r="I161" s="23">
        <f>IFERROR(IF(OR(C161="",D161=""),"",D161*VLOOKUP(C161,'Setup - Mix Design'!$A$5:$I$304,5,0)),"")</f>
        <v/>
      </c>
      <c r="J161" s="23">
        <f>IFERROR(IF(OR(C161="",D161=""),"",D161*VLOOKUP(C161,'Setup - Mix Design'!$A$5:$I$304,6,0)),"")</f>
        <v/>
      </c>
      <c r="K161" s="23">
        <f>IFERROR(IF(OR(C161="",D161=""),"",D161*VLOOKUP(C161,'Setup - Mix Design'!$A$5:$I$304,7,0)),"")</f>
        <v/>
      </c>
    </row>
    <row r="162">
      <c r="A162" s="26" t="n"/>
      <c r="B162" s="21" t="n"/>
      <c r="C162" s="21" t="n"/>
      <c r="D162" s="22" t="n"/>
      <c r="E162" s="21" t="n"/>
      <c r="F162" s="23">
        <f>IFERROR(IF(OR(C162="",D162=""),"",D162*VLOOKUP(C162,'Setup - Mix Design'!$A$5:$I$304,2,0)),"")</f>
        <v/>
      </c>
      <c r="G162" s="23">
        <f>IFERROR(IF(OR(C162="",D162=""),"",D162*VLOOKUP(C162,'Setup - Mix Design'!$A$5:$I$304,3,0)),"")</f>
        <v/>
      </c>
      <c r="H162" s="23">
        <f>IFERROR(IF(OR(C162="",D162=""),"",D162*VLOOKUP(C162,'Setup - Mix Design'!$A$5:$I$304,4,0)),"")</f>
        <v/>
      </c>
      <c r="I162" s="23">
        <f>IFERROR(IF(OR(C162="",D162=""),"",D162*VLOOKUP(C162,'Setup - Mix Design'!$A$5:$I$304,5,0)),"")</f>
        <v/>
      </c>
      <c r="J162" s="23">
        <f>IFERROR(IF(OR(C162="",D162=""),"",D162*VLOOKUP(C162,'Setup - Mix Design'!$A$5:$I$304,6,0)),"")</f>
        <v/>
      </c>
      <c r="K162" s="23">
        <f>IFERROR(IF(OR(C162="",D162=""),"",D162*VLOOKUP(C162,'Setup - Mix Design'!$A$5:$I$304,7,0)),"")</f>
        <v/>
      </c>
    </row>
    <row r="163">
      <c r="A163" s="26" t="n"/>
      <c r="B163" s="21" t="n"/>
      <c r="C163" s="21" t="n"/>
      <c r="D163" s="22" t="n"/>
      <c r="E163" s="21" t="n"/>
      <c r="F163" s="23">
        <f>IFERROR(IF(OR(C163="",D163=""),"",D163*VLOOKUP(C163,'Setup - Mix Design'!$A$5:$I$304,2,0)),"")</f>
        <v/>
      </c>
      <c r="G163" s="23">
        <f>IFERROR(IF(OR(C163="",D163=""),"",D163*VLOOKUP(C163,'Setup - Mix Design'!$A$5:$I$304,3,0)),"")</f>
        <v/>
      </c>
      <c r="H163" s="23">
        <f>IFERROR(IF(OR(C163="",D163=""),"",D163*VLOOKUP(C163,'Setup - Mix Design'!$A$5:$I$304,4,0)),"")</f>
        <v/>
      </c>
      <c r="I163" s="23">
        <f>IFERROR(IF(OR(C163="",D163=""),"",D163*VLOOKUP(C163,'Setup - Mix Design'!$A$5:$I$304,5,0)),"")</f>
        <v/>
      </c>
      <c r="J163" s="23">
        <f>IFERROR(IF(OR(C163="",D163=""),"",D163*VLOOKUP(C163,'Setup - Mix Design'!$A$5:$I$304,6,0)),"")</f>
        <v/>
      </c>
      <c r="K163" s="23">
        <f>IFERROR(IF(OR(C163="",D163=""),"",D163*VLOOKUP(C163,'Setup - Mix Design'!$A$5:$I$304,7,0)),"")</f>
        <v/>
      </c>
    </row>
    <row r="164">
      <c r="A164" s="26" t="n"/>
      <c r="B164" s="21" t="n"/>
      <c r="C164" s="21" t="n"/>
      <c r="D164" s="22" t="n"/>
      <c r="E164" s="21" t="n"/>
      <c r="F164" s="23">
        <f>IFERROR(IF(OR(C164="",D164=""),"",D164*VLOOKUP(C164,'Setup - Mix Design'!$A$5:$I$304,2,0)),"")</f>
        <v/>
      </c>
      <c r="G164" s="23">
        <f>IFERROR(IF(OR(C164="",D164=""),"",D164*VLOOKUP(C164,'Setup - Mix Design'!$A$5:$I$304,3,0)),"")</f>
        <v/>
      </c>
      <c r="H164" s="23">
        <f>IFERROR(IF(OR(C164="",D164=""),"",D164*VLOOKUP(C164,'Setup - Mix Design'!$A$5:$I$304,4,0)),"")</f>
        <v/>
      </c>
      <c r="I164" s="23">
        <f>IFERROR(IF(OR(C164="",D164=""),"",D164*VLOOKUP(C164,'Setup - Mix Design'!$A$5:$I$304,5,0)),"")</f>
        <v/>
      </c>
      <c r="J164" s="23">
        <f>IFERROR(IF(OR(C164="",D164=""),"",D164*VLOOKUP(C164,'Setup - Mix Design'!$A$5:$I$304,6,0)),"")</f>
        <v/>
      </c>
      <c r="K164" s="23">
        <f>IFERROR(IF(OR(C164="",D164=""),"",D164*VLOOKUP(C164,'Setup - Mix Design'!$A$5:$I$304,7,0)),"")</f>
        <v/>
      </c>
    </row>
    <row r="165">
      <c r="A165" s="26" t="n"/>
      <c r="B165" s="21" t="n"/>
      <c r="C165" s="21" t="n"/>
      <c r="D165" s="22" t="n"/>
      <c r="E165" s="21" t="n"/>
      <c r="F165" s="23">
        <f>IFERROR(IF(OR(C165="",D165=""),"",D165*VLOOKUP(C165,'Setup - Mix Design'!$A$5:$I$304,2,0)),"")</f>
        <v/>
      </c>
      <c r="G165" s="23">
        <f>IFERROR(IF(OR(C165="",D165=""),"",D165*VLOOKUP(C165,'Setup - Mix Design'!$A$5:$I$304,3,0)),"")</f>
        <v/>
      </c>
      <c r="H165" s="23">
        <f>IFERROR(IF(OR(C165="",D165=""),"",D165*VLOOKUP(C165,'Setup - Mix Design'!$A$5:$I$304,4,0)),"")</f>
        <v/>
      </c>
      <c r="I165" s="23">
        <f>IFERROR(IF(OR(C165="",D165=""),"",D165*VLOOKUP(C165,'Setup - Mix Design'!$A$5:$I$304,5,0)),"")</f>
        <v/>
      </c>
      <c r="J165" s="23">
        <f>IFERROR(IF(OR(C165="",D165=""),"",D165*VLOOKUP(C165,'Setup - Mix Design'!$A$5:$I$304,6,0)),"")</f>
        <v/>
      </c>
      <c r="K165" s="23">
        <f>IFERROR(IF(OR(C165="",D165=""),"",D165*VLOOKUP(C165,'Setup - Mix Design'!$A$5:$I$304,7,0)),"")</f>
        <v/>
      </c>
    </row>
    <row r="166">
      <c r="A166" s="26" t="n"/>
      <c r="B166" s="21" t="n"/>
      <c r="C166" s="21" t="n"/>
      <c r="D166" s="22" t="n"/>
      <c r="E166" s="21" t="n"/>
      <c r="F166" s="23">
        <f>IFERROR(IF(OR(C166="",D166=""),"",D166*VLOOKUP(C166,'Setup - Mix Design'!$A$5:$I$304,2,0)),"")</f>
        <v/>
      </c>
      <c r="G166" s="23">
        <f>IFERROR(IF(OR(C166="",D166=""),"",D166*VLOOKUP(C166,'Setup - Mix Design'!$A$5:$I$304,3,0)),"")</f>
        <v/>
      </c>
      <c r="H166" s="23">
        <f>IFERROR(IF(OR(C166="",D166=""),"",D166*VLOOKUP(C166,'Setup - Mix Design'!$A$5:$I$304,4,0)),"")</f>
        <v/>
      </c>
      <c r="I166" s="23">
        <f>IFERROR(IF(OR(C166="",D166=""),"",D166*VLOOKUP(C166,'Setup - Mix Design'!$A$5:$I$304,5,0)),"")</f>
        <v/>
      </c>
      <c r="J166" s="23">
        <f>IFERROR(IF(OR(C166="",D166=""),"",D166*VLOOKUP(C166,'Setup - Mix Design'!$A$5:$I$304,6,0)),"")</f>
        <v/>
      </c>
      <c r="K166" s="23">
        <f>IFERROR(IF(OR(C166="",D166=""),"",D166*VLOOKUP(C166,'Setup - Mix Design'!$A$5:$I$304,7,0)),"")</f>
        <v/>
      </c>
    </row>
    <row r="167">
      <c r="A167" s="26" t="n"/>
      <c r="B167" s="21" t="n"/>
      <c r="C167" s="21" t="n"/>
      <c r="D167" s="22" t="n"/>
      <c r="E167" s="21" t="n"/>
      <c r="F167" s="23">
        <f>IFERROR(IF(OR(C167="",D167=""),"",D167*VLOOKUP(C167,'Setup - Mix Design'!$A$5:$I$304,2,0)),"")</f>
        <v/>
      </c>
      <c r="G167" s="23">
        <f>IFERROR(IF(OR(C167="",D167=""),"",D167*VLOOKUP(C167,'Setup - Mix Design'!$A$5:$I$304,3,0)),"")</f>
        <v/>
      </c>
      <c r="H167" s="23">
        <f>IFERROR(IF(OR(C167="",D167=""),"",D167*VLOOKUP(C167,'Setup - Mix Design'!$A$5:$I$304,4,0)),"")</f>
        <v/>
      </c>
      <c r="I167" s="23">
        <f>IFERROR(IF(OR(C167="",D167=""),"",D167*VLOOKUP(C167,'Setup - Mix Design'!$A$5:$I$304,5,0)),"")</f>
        <v/>
      </c>
      <c r="J167" s="23">
        <f>IFERROR(IF(OR(C167="",D167=""),"",D167*VLOOKUP(C167,'Setup - Mix Design'!$A$5:$I$304,6,0)),"")</f>
        <v/>
      </c>
      <c r="K167" s="23">
        <f>IFERROR(IF(OR(C167="",D167=""),"",D167*VLOOKUP(C167,'Setup - Mix Design'!$A$5:$I$304,7,0)),"")</f>
        <v/>
      </c>
    </row>
    <row r="168">
      <c r="A168" s="26" t="n"/>
      <c r="B168" s="21" t="n"/>
      <c r="C168" s="21" t="n"/>
      <c r="D168" s="22" t="n"/>
      <c r="E168" s="21" t="n"/>
      <c r="F168" s="23">
        <f>IFERROR(IF(OR(C168="",D168=""),"",D168*VLOOKUP(C168,'Setup - Mix Design'!$A$5:$I$304,2,0)),"")</f>
        <v/>
      </c>
      <c r="G168" s="23">
        <f>IFERROR(IF(OR(C168="",D168=""),"",D168*VLOOKUP(C168,'Setup - Mix Design'!$A$5:$I$304,3,0)),"")</f>
        <v/>
      </c>
      <c r="H168" s="23">
        <f>IFERROR(IF(OR(C168="",D168=""),"",D168*VLOOKUP(C168,'Setup - Mix Design'!$A$5:$I$304,4,0)),"")</f>
        <v/>
      </c>
      <c r="I168" s="23">
        <f>IFERROR(IF(OR(C168="",D168=""),"",D168*VLOOKUP(C168,'Setup - Mix Design'!$A$5:$I$304,5,0)),"")</f>
        <v/>
      </c>
      <c r="J168" s="23">
        <f>IFERROR(IF(OR(C168="",D168=""),"",D168*VLOOKUP(C168,'Setup - Mix Design'!$A$5:$I$304,6,0)),"")</f>
        <v/>
      </c>
      <c r="K168" s="23">
        <f>IFERROR(IF(OR(C168="",D168=""),"",D168*VLOOKUP(C168,'Setup - Mix Design'!$A$5:$I$304,7,0)),"")</f>
        <v/>
      </c>
    </row>
    <row r="169">
      <c r="A169" s="26" t="n"/>
      <c r="B169" s="21" t="n"/>
      <c r="C169" s="21" t="n"/>
      <c r="D169" s="22" t="n"/>
      <c r="E169" s="21" t="n"/>
      <c r="F169" s="23">
        <f>IFERROR(IF(OR(C169="",D169=""),"",D169*VLOOKUP(C169,'Setup - Mix Design'!$A$5:$I$304,2,0)),"")</f>
        <v/>
      </c>
      <c r="G169" s="23">
        <f>IFERROR(IF(OR(C169="",D169=""),"",D169*VLOOKUP(C169,'Setup - Mix Design'!$A$5:$I$304,3,0)),"")</f>
        <v/>
      </c>
      <c r="H169" s="23">
        <f>IFERROR(IF(OR(C169="",D169=""),"",D169*VLOOKUP(C169,'Setup - Mix Design'!$A$5:$I$304,4,0)),"")</f>
        <v/>
      </c>
      <c r="I169" s="23">
        <f>IFERROR(IF(OR(C169="",D169=""),"",D169*VLOOKUP(C169,'Setup - Mix Design'!$A$5:$I$304,5,0)),"")</f>
        <v/>
      </c>
      <c r="J169" s="23">
        <f>IFERROR(IF(OR(C169="",D169=""),"",D169*VLOOKUP(C169,'Setup - Mix Design'!$A$5:$I$304,6,0)),"")</f>
        <v/>
      </c>
      <c r="K169" s="23">
        <f>IFERROR(IF(OR(C169="",D169=""),"",D169*VLOOKUP(C169,'Setup - Mix Design'!$A$5:$I$304,7,0)),"")</f>
        <v/>
      </c>
    </row>
    <row r="170">
      <c r="A170" s="26" t="n"/>
      <c r="B170" s="21" t="n"/>
      <c r="C170" s="21" t="n"/>
      <c r="D170" s="22" t="n"/>
      <c r="E170" s="21" t="n"/>
      <c r="F170" s="23">
        <f>IFERROR(IF(OR(C170="",D170=""),"",D170*VLOOKUP(C170,'Setup - Mix Design'!$A$5:$I$304,2,0)),"")</f>
        <v/>
      </c>
      <c r="G170" s="23">
        <f>IFERROR(IF(OR(C170="",D170=""),"",D170*VLOOKUP(C170,'Setup - Mix Design'!$A$5:$I$304,3,0)),"")</f>
        <v/>
      </c>
      <c r="H170" s="23">
        <f>IFERROR(IF(OR(C170="",D170=""),"",D170*VLOOKUP(C170,'Setup - Mix Design'!$A$5:$I$304,4,0)),"")</f>
        <v/>
      </c>
      <c r="I170" s="23">
        <f>IFERROR(IF(OR(C170="",D170=""),"",D170*VLOOKUP(C170,'Setup - Mix Design'!$A$5:$I$304,5,0)),"")</f>
        <v/>
      </c>
      <c r="J170" s="23">
        <f>IFERROR(IF(OR(C170="",D170=""),"",D170*VLOOKUP(C170,'Setup - Mix Design'!$A$5:$I$304,6,0)),"")</f>
        <v/>
      </c>
      <c r="K170" s="23">
        <f>IFERROR(IF(OR(C170="",D170=""),"",D170*VLOOKUP(C170,'Setup - Mix Design'!$A$5:$I$304,7,0)),"")</f>
        <v/>
      </c>
    </row>
    <row r="171">
      <c r="A171" s="26" t="n"/>
      <c r="B171" s="21" t="n"/>
      <c r="C171" s="21" t="n"/>
      <c r="D171" s="22" t="n"/>
      <c r="E171" s="21" t="n"/>
      <c r="F171" s="23">
        <f>IFERROR(IF(OR(C171="",D171=""),"",D171*VLOOKUP(C171,'Setup - Mix Design'!$A$5:$I$304,2,0)),"")</f>
        <v/>
      </c>
      <c r="G171" s="23">
        <f>IFERROR(IF(OR(C171="",D171=""),"",D171*VLOOKUP(C171,'Setup - Mix Design'!$A$5:$I$304,3,0)),"")</f>
        <v/>
      </c>
      <c r="H171" s="23">
        <f>IFERROR(IF(OR(C171="",D171=""),"",D171*VLOOKUP(C171,'Setup - Mix Design'!$A$5:$I$304,4,0)),"")</f>
        <v/>
      </c>
      <c r="I171" s="23">
        <f>IFERROR(IF(OR(C171="",D171=""),"",D171*VLOOKUP(C171,'Setup - Mix Design'!$A$5:$I$304,5,0)),"")</f>
        <v/>
      </c>
      <c r="J171" s="23">
        <f>IFERROR(IF(OR(C171="",D171=""),"",D171*VLOOKUP(C171,'Setup - Mix Design'!$A$5:$I$304,6,0)),"")</f>
        <v/>
      </c>
      <c r="K171" s="23">
        <f>IFERROR(IF(OR(C171="",D171=""),"",D171*VLOOKUP(C171,'Setup - Mix Design'!$A$5:$I$304,7,0)),"")</f>
        <v/>
      </c>
    </row>
    <row r="172">
      <c r="A172" s="26" t="n"/>
      <c r="B172" s="21" t="n"/>
      <c r="C172" s="21" t="n"/>
      <c r="D172" s="22" t="n"/>
      <c r="E172" s="21" t="n"/>
      <c r="F172" s="23">
        <f>IFERROR(IF(OR(C172="",D172=""),"",D172*VLOOKUP(C172,'Setup - Mix Design'!$A$5:$I$304,2,0)),"")</f>
        <v/>
      </c>
      <c r="G172" s="23">
        <f>IFERROR(IF(OR(C172="",D172=""),"",D172*VLOOKUP(C172,'Setup - Mix Design'!$A$5:$I$304,3,0)),"")</f>
        <v/>
      </c>
      <c r="H172" s="23">
        <f>IFERROR(IF(OR(C172="",D172=""),"",D172*VLOOKUP(C172,'Setup - Mix Design'!$A$5:$I$304,4,0)),"")</f>
        <v/>
      </c>
      <c r="I172" s="23">
        <f>IFERROR(IF(OR(C172="",D172=""),"",D172*VLOOKUP(C172,'Setup - Mix Design'!$A$5:$I$304,5,0)),"")</f>
        <v/>
      </c>
      <c r="J172" s="23">
        <f>IFERROR(IF(OR(C172="",D172=""),"",D172*VLOOKUP(C172,'Setup - Mix Design'!$A$5:$I$304,6,0)),"")</f>
        <v/>
      </c>
      <c r="K172" s="23">
        <f>IFERROR(IF(OR(C172="",D172=""),"",D172*VLOOKUP(C172,'Setup - Mix Design'!$A$5:$I$304,7,0)),"")</f>
        <v/>
      </c>
    </row>
    <row r="173">
      <c r="A173" s="26" t="n"/>
      <c r="B173" s="21" t="n"/>
      <c r="C173" s="21" t="n"/>
      <c r="D173" s="22" t="n"/>
      <c r="E173" s="21" t="n"/>
      <c r="F173" s="23">
        <f>IFERROR(IF(OR(C173="",D173=""),"",D173*VLOOKUP(C173,'Setup - Mix Design'!$A$5:$I$304,2,0)),"")</f>
        <v/>
      </c>
      <c r="G173" s="23">
        <f>IFERROR(IF(OR(C173="",D173=""),"",D173*VLOOKUP(C173,'Setup - Mix Design'!$A$5:$I$304,3,0)),"")</f>
        <v/>
      </c>
      <c r="H173" s="23">
        <f>IFERROR(IF(OR(C173="",D173=""),"",D173*VLOOKUP(C173,'Setup - Mix Design'!$A$5:$I$304,4,0)),"")</f>
        <v/>
      </c>
      <c r="I173" s="23">
        <f>IFERROR(IF(OR(C173="",D173=""),"",D173*VLOOKUP(C173,'Setup - Mix Design'!$A$5:$I$304,5,0)),"")</f>
        <v/>
      </c>
      <c r="J173" s="23">
        <f>IFERROR(IF(OR(C173="",D173=""),"",D173*VLOOKUP(C173,'Setup - Mix Design'!$A$5:$I$304,6,0)),"")</f>
        <v/>
      </c>
      <c r="K173" s="23">
        <f>IFERROR(IF(OR(C173="",D173=""),"",D173*VLOOKUP(C173,'Setup - Mix Design'!$A$5:$I$304,7,0)),"")</f>
        <v/>
      </c>
    </row>
    <row r="174">
      <c r="A174" s="26" t="n"/>
      <c r="B174" s="21" t="n"/>
      <c r="C174" s="21" t="n"/>
      <c r="D174" s="22" t="n"/>
      <c r="E174" s="21" t="n"/>
      <c r="F174" s="23">
        <f>IFERROR(IF(OR(C174="",D174=""),"",D174*VLOOKUP(C174,'Setup - Mix Design'!$A$5:$I$304,2,0)),"")</f>
        <v/>
      </c>
      <c r="G174" s="23">
        <f>IFERROR(IF(OR(C174="",D174=""),"",D174*VLOOKUP(C174,'Setup - Mix Design'!$A$5:$I$304,3,0)),"")</f>
        <v/>
      </c>
      <c r="H174" s="23">
        <f>IFERROR(IF(OR(C174="",D174=""),"",D174*VLOOKUP(C174,'Setup - Mix Design'!$A$5:$I$304,4,0)),"")</f>
        <v/>
      </c>
      <c r="I174" s="23">
        <f>IFERROR(IF(OR(C174="",D174=""),"",D174*VLOOKUP(C174,'Setup - Mix Design'!$A$5:$I$304,5,0)),"")</f>
        <v/>
      </c>
      <c r="J174" s="23">
        <f>IFERROR(IF(OR(C174="",D174=""),"",D174*VLOOKUP(C174,'Setup - Mix Design'!$A$5:$I$304,6,0)),"")</f>
        <v/>
      </c>
      <c r="K174" s="23">
        <f>IFERROR(IF(OR(C174="",D174=""),"",D174*VLOOKUP(C174,'Setup - Mix Design'!$A$5:$I$304,7,0)),"")</f>
        <v/>
      </c>
    </row>
    <row r="175">
      <c r="A175" s="26" t="n"/>
      <c r="B175" s="21" t="n"/>
      <c r="C175" s="21" t="n"/>
      <c r="D175" s="22" t="n"/>
      <c r="E175" s="21" t="n"/>
      <c r="F175" s="23">
        <f>IFERROR(IF(OR(C175="",D175=""),"",D175*VLOOKUP(C175,'Setup - Mix Design'!$A$5:$I$304,2,0)),"")</f>
        <v/>
      </c>
      <c r="G175" s="23">
        <f>IFERROR(IF(OR(C175="",D175=""),"",D175*VLOOKUP(C175,'Setup - Mix Design'!$A$5:$I$304,3,0)),"")</f>
        <v/>
      </c>
      <c r="H175" s="23">
        <f>IFERROR(IF(OR(C175="",D175=""),"",D175*VLOOKUP(C175,'Setup - Mix Design'!$A$5:$I$304,4,0)),"")</f>
        <v/>
      </c>
      <c r="I175" s="23">
        <f>IFERROR(IF(OR(C175="",D175=""),"",D175*VLOOKUP(C175,'Setup - Mix Design'!$A$5:$I$304,5,0)),"")</f>
        <v/>
      </c>
      <c r="J175" s="23">
        <f>IFERROR(IF(OR(C175="",D175=""),"",D175*VLOOKUP(C175,'Setup - Mix Design'!$A$5:$I$304,6,0)),"")</f>
        <v/>
      </c>
      <c r="K175" s="23">
        <f>IFERROR(IF(OR(C175="",D175=""),"",D175*VLOOKUP(C175,'Setup - Mix Design'!$A$5:$I$304,7,0)),"")</f>
        <v/>
      </c>
    </row>
    <row r="176">
      <c r="A176" s="26" t="n"/>
      <c r="B176" s="21" t="n"/>
      <c r="C176" s="21" t="n"/>
      <c r="D176" s="22" t="n"/>
      <c r="E176" s="21" t="n"/>
      <c r="F176" s="23">
        <f>IFERROR(IF(OR(C176="",D176=""),"",D176*VLOOKUP(C176,'Setup - Mix Design'!$A$5:$I$304,2,0)),"")</f>
        <v/>
      </c>
      <c r="G176" s="23">
        <f>IFERROR(IF(OR(C176="",D176=""),"",D176*VLOOKUP(C176,'Setup - Mix Design'!$A$5:$I$304,3,0)),"")</f>
        <v/>
      </c>
      <c r="H176" s="23">
        <f>IFERROR(IF(OR(C176="",D176=""),"",D176*VLOOKUP(C176,'Setup - Mix Design'!$A$5:$I$304,4,0)),"")</f>
        <v/>
      </c>
      <c r="I176" s="23">
        <f>IFERROR(IF(OR(C176="",D176=""),"",D176*VLOOKUP(C176,'Setup - Mix Design'!$A$5:$I$304,5,0)),"")</f>
        <v/>
      </c>
      <c r="J176" s="23">
        <f>IFERROR(IF(OR(C176="",D176=""),"",D176*VLOOKUP(C176,'Setup - Mix Design'!$A$5:$I$304,6,0)),"")</f>
        <v/>
      </c>
      <c r="K176" s="23">
        <f>IFERROR(IF(OR(C176="",D176=""),"",D176*VLOOKUP(C176,'Setup - Mix Design'!$A$5:$I$304,7,0)),"")</f>
        <v/>
      </c>
    </row>
    <row r="177">
      <c r="A177" s="26" t="n"/>
      <c r="B177" s="21" t="n"/>
      <c r="C177" s="21" t="n"/>
      <c r="D177" s="22" t="n"/>
      <c r="E177" s="21" t="n"/>
      <c r="F177" s="23">
        <f>IFERROR(IF(OR(C177="",D177=""),"",D177*VLOOKUP(C177,'Setup - Mix Design'!$A$5:$I$304,2,0)),"")</f>
        <v/>
      </c>
      <c r="G177" s="23">
        <f>IFERROR(IF(OR(C177="",D177=""),"",D177*VLOOKUP(C177,'Setup - Mix Design'!$A$5:$I$304,3,0)),"")</f>
        <v/>
      </c>
      <c r="H177" s="23">
        <f>IFERROR(IF(OR(C177="",D177=""),"",D177*VLOOKUP(C177,'Setup - Mix Design'!$A$5:$I$304,4,0)),"")</f>
        <v/>
      </c>
      <c r="I177" s="23">
        <f>IFERROR(IF(OR(C177="",D177=""),"",D177*VLOOKUP(C177,'Setup - Mix Design'!$A$5:$I$304,5,0)),"")</f>
        <v/>
      </c>
      <c r="J177" s="23">
        <f>IFERROR(IF(OR(C177="",D177=""),"",D177*VLOOKUP(C177,'Setup - Mix Design'!$A$5:$I$304,6,0)),"")</f>
        <v/>
      </c>
      <c r="K177" s="23">
        <f>IFERROR(IF(OR(C177="",D177=""),"",D177*VLOOKUP(C177,'Setup - Mix Design'!$A$5:$I$304,7,0)),"")</f>
        <v/>
      </c>
    </row>
    <row r="178">
      <c r="A178" s="26" t="n"/>
      <c r="B178" s="21" t="n"/>
      <c r="C178" s="21" t="n"/>
      <c r="D178" s="22" t="n"/>
      <c r="E178" s="21" t="n"/>
      <c r="F178" s="23">
        <f>IFERROR(IF(OR(C178="",D178=""),"",D178*VLOOKUP(C178,'Setup - Mix Design'!$A$5:$I$304,2,0)),"")</f>
        <v/>
      </c>
      <c r="G178" s="23">
        <f>IFERROR(IF(OR(C178="",D178=""),"",D178*VLOOKUP(C178,'Setup - Mix Design'!$A$5:$I$304,3,0)),"")</f>
        <v/>
      </c>
      <c r="H178" s="23">
        <f>IFERROR(IF(OR(C178="",D178=""),"",D178*VLOOKUP(C178,'Setup - Mix Design'!$A$5:$I$304,4,0)),"")</f>
        <v/>
      </c>
      <c r="I178" s="23">
        <f>IFERROR(IF(OR(C178="",D178=""),"",D178*VLOOKUP(C178,'Setup - Mix Design'!$A$5:$I$304,5,0)),"")</f>
        <v/>
      </c>
      <c r="J178" s="23">
        <f>IFERROR(IF(OR(C178="",D178=""),"",D178*VLOOKUP(C178,'Setup - Mix Design'!$A$5:$I$304,6,0)),"")</f>
        <v/>
      </c>
      <c r="K178" s="23">
        <f>IFERROR(IF(OR(C178="",D178=""),"",D178*VLOOKUP(C178,'Setup - Mix Design'!$A$5:$I$304,7,0)),"")</f>
        <v/>
      </c>
    </row>
    <row r="179">
      <c r="A179" s="26" t="n"/>
      <c r="B179" s="21" t="n"/>
      <c r="C179" s="21" t="n"/>
      <c r="D179" s="22" t="n"/>
      <c r="E179" s="21" t="n"/>
      <c r="F179" s="23">
        <f>IFERROR(IF(OR(C179="",D179=""),"",D179*VLOOKUP(C179,'Setup - Mix Design'!$A$5:$I$304,2,0)),"")</f>
        <v/>
      </c>
      <c r="G179" s="23">
        <f>IFERROR(IF(OR(C179="",D179=""),"",D179*VLOOKUP(C179,'Setup - Mix Design'!$A$5:$I$304,3,0)),"")</f>
        <v/>
      </c>
      <c r="H179" s="23">
        <f>IFERROR(IF(OR(C179="",D179=""),"",D179*VLOOKUP(C179,'Setup - Mix Design'!$A$5:$I$304,4,0)),"")</f>
        <v/>
      </c>
      <c r="I179" s="23">
        <f>IFERROR(IF(OR(C179="",D179=""),"",D179*VLOOKUP(C179,'Setup - Mix Design'!$A$5:$I$304,5,0)),"")</f>
        <v/>
      </c>
      <c r="J179" s="23">
        <f>IFERROR(IF(OR(C179="",D179=""),"",D179*VLOOKUP(C179,'Setup - Mix Design'!$A$5:$I$304,6,0)),"")</f>
        <v/>
      </c>
      <c r="K179" s="23">
        <f>IFERROR(IF(OR(C179="",D179=""),"",D179*VLOOKUP(C179,'Setup - Mix Design'!$A$5:$I$304,7,0)),"")</f>
        <v/>
      </c>
    </row>
    <row r="180">
      <c r="A180" s="26" t="n"/>
      <c r="B180" s="21" t="n"/>
      <c r="C180" s="21" t="n"/>
      <c r="D180" s="22" t="n"/>
      <c r="E180" s="21" t="n"/>
      <c r="F180" s="23">
        <f>IFERROR(IF(OR(C180="",D180=""),"",D180*VLOOKUP(C180,'Setup - Mix Design'!$A$5:$I$304,2,0)),"")</f>
        <v/>
      </c>
      <c r="G180" s="23">
        <f>IFERROR(IF(OR(C180="",D180=""),"",D180*VLOOKUP(C180,'Setup - Mix Design'!$A$5:$I$304,3,0)),"")</f>
        <v/>
      </c>
      <c r="H180" s="23">
        <f>IFERROR(IF(OR(C180="",D180=""),"",D180*VLOOKUP(C180,'Setup - Mix Design'!$A$5:$I$304,4,0)),"")</f>
        <v/>
      </c>
      <c r="I180" s="23">
        <f>IFERROR(IF(OR(C180="",D180=""),"",D180*VLOOKUP(C180,'Setup - Mix Design'!$A$5:$I$304,5,0)),"")</f>
        <v/>
      </c>
      <c r="J180" s="23">
        <f>IFERROR(IF(OR(C180="",D180=""),"",D180*VLOOKUP(C180,'Setup - Mix Design'!$A$5:$I$304,6,0)),"")</f>
        <v/>
      </c>
      <c r="K180" s="23">
        <f>IFERROR(IF(OR(C180="",D180=""),"",D180*VLOOKUP(C180,'Setup - Mix Design'!$A$5:$I$304,7,0)),"")</f>
        <v/>
      </c>
    </row>
    <row r="181">
      <c r="A181" s="26" t="n"/>
      <c r="B181" s="21" t="n"/>
      <c r="C181" s="21" t="n"/>
      <c r="D181" s="22" t="n"/>
      <c r="E181" s="21" t="n"/>
      <c r="F181" s="23">
        <f>IFERROR(IF(OR(C181="",D181=""),"",D181*VLOOKUP(C181,'Setup - Mix Design'!$A$5:$I$304,2,0)),"")</f>
        <v/>
      </c>
      <c r="G181" s="23">
        <f>IFERROR(IF(OR(C181="",D181=""),"",D181*VLOOKUP(C181,'Setup - Mix Design'!$A$5:$I$304,3,0)),"")</f>
        <v/>
      </c>
      <c r="H181" s="23">
        <f>IFERROR(IF(OR(C181="",D181=""),"",D181*VLOOKUP(C181,'Setup - Mix Design'!$A$5:$I$304,4,0)),"")</f>
        <v/>
      </c>
      <c r="I181" s="23">
        <f>IFERROR(IF(OR(C181="",D181=""),"",D181*VLOOKUP(C181,'Setup - Mix Design'!$A$5:$I$304,5,0)),"")</f>
        <v/>
      </c>
      <c r="J181" s="23">
        <f>IFERROR(IF(OR(C181="",D181=""),"",D181*VLOOKUP(C181,'Setup - Mix Design'!$A$5:$I$304,6,0)),"")</f>
        <v/>
      </c>
      <c r="K181" s="23">
        <f>IFERROR(IF(OR(C181="",D181=""),"",D181*VLOOKUP(C181,'Setup - Mix Design'!$A$5:$I$304,7,0)),"")</f>
        <v/>
      </c>
    </row>
    <row r="182">
      <c r="A182" s="26" t="n"/>
      <c r="B182" s="21" t="n"/>
      <c r="C182" s="21" t="n"/>
      <c r="D182" s="22" t="n"/>
      <c r="E182" s="21" t="n"/>
      <c r="F182" s="23">
        <f>IFERROR(IF(OR(C182="",D182=""),"",D182*VLOOKUP(C182,'Setup - Mix Design'!$A$5:$I$304,2,0)),"")</f>
        <v/>
      </c>
      <c r="G182" s="23">
        <f>IFERROR(IF(OR(C182="",D182=""),"",D182*VLOOKUP(C182,'Setup - Mix Design'!$A$5:$I$304,3,0)),"")</f>
        <v/>
      </c>
      <c r="H182" s="23">
        <f>IFERROR(IF(OR(C182="",D182=""),"",D182*VLOOKUP(C182,'Setup - Mix Design'!$A$5:$I$304,4,0)),"")</f>
        <v/>
      </c>
      <c r="I182" s="23">
        <f>IFERROR(IF(OR(C182="",D182=""),"",D182*VLOOKUP(C182,'Setup - Mix Design'!$A$5:$I$304,5,0)),"")</f>
        <v/>
      </c>
      <c r="J182" s="23">
        <f>IFERROR(IF(OR(C182="",D182=""),"",D182*VLOOKUP(C182,'Setup - Mix Design'!$A$5:$I$304,6,0)),"")</f>
        <v/>
      </c>
      <c r="K182" s="23">
        <f>IFERROR(IF(OR(C182="",D182=""),"",D182*VLOOKUP(C182,'Setup - Mix Design'!$A$5:$I$304,7,0)),"")</f>
        <v/>
      </c>
    </row>
    <row r="183">
      <c r="A183" s="26" t="n"/>
      <c r="B183" s="21" t="n"/>
      <c r="C183" s="21" t="n"/>
      <c r="D183" s="22" t="n"/>
      <c r="E183" s="21" t="n"/>
      <c r="F183" s="23">
        <f>IFERROR(IF(OR(C183="",D183=""),"",D183*VLOOKUP(C183,'Setup - Mix Design'!$A$5:$I$304,2,0)),"")</f>
        <v/>
      </c>
      <c r="G183" s="23">
        <f>IFERROR(IF(OR(C183="",D183=""),"",D183*VLOOKUP(C183,'Setup - Mix Design'!$A$5:$I$304,3,0)),"")</f>
        <v/>
      </c>
      <c r="H183" s="23">
        <f>IFERROR(IF(OR(C183="",D183=""),"",D183*VLOOKUP(C183,'Setup - Mix Design'!$A$5:$I$304,4,0)),"")</f>
        <v/>
      </c>
      <c r="I183" s="23">
        <f>IFERROR(IF(OR(C183="",D183=""),"",D183*VLOOKUP(C183,'Setup - Mix Design'!$A$5:$I$304,5,0)),"")</f>
        <v/>
      </c>
      <c r="J183" s="23">
        <f>IFERROR(IF(OR(C183="",D183=""),"",D183*VLOOKUP(C183,'Setup - Mix Design'!$A$5:$I$304,6,0)),"")</f>
        <v/>
      </c>
      <c r="K183" s="23">
        <f>IFERROR(IF(OR(C183="",D183=""),"",D183*VLOOKUP(C183,'Setup - Mix Design'!$A$5:$I$304,7,0)),"")</f>
        <v/>
      </c>
    </row>
    <row r="184">
      <c r="A184" s="26" t="n"/>
      <c r="B184" s="21" t="n"/>
      <c r="C184" s="21" t="n"/>
      <c r="D184" s="22" t="n"/>
      <c r="E184" s="21" t="n"/>
      <c r="F184" s="23">
        <f>IFERROR(IF(OR(C184="",D184=""),"",D184*VLOOKUP(C184,'Setup - Mix Design'!$A$5:$I$304,2,0)),"")</f>
        <v/>
      </c>
      <c r="G184" s="23">
        <f>IFERROR(IF(OR(C184="",D184=""),"",D184*VLOOKUP(C184,'Setup - Mix Design'!$A$5:$I$304,3,0)),"")</f>
        <v/>
      </c>
      <c r="H184" s="23">
        <f>IFERROR(IF(OR(C184="",D184=""),"",D184*VLOOKUP(C184,'Setup - Mix Design'!$A$5:$I$304,4,0)),"")</f>
        <v/>
      </c>
      <c r="I184" s="23">
        <f>IFERROR(IF(OR(C184="",D184=""),"",D184*VLOOKUP(C184,'Setup - Mix Design'!$A$5:$I$304,5,0)),"")</f>
        <v/>
      </c>
      <c r="J184" s="23">
        <f>IFERROR(IF(OR(C184="",D184=""),"",D184*VLOOKUP(C184,'Setup - Mix Design'!$A$5:$I$304,6,0)),"")</f>
        <v/>
      </c>
      <c r="K184" s="23">
        <f>IFERROR(IF(OR(C184="",D184=""),"",D184*VLOOKUP(C184,'Setup - Mix Design'!$A$5:$I$304,7,0)),"")</f>
        <v/>
      </c>
    </row>
    <row r="185">
      <c r="A185" s="26" t="n"/>
      <c r="B185" s="21" t="n"/>
      <c r="C185" s="21" t="n"/>
      <c r="D185" s="22" t="n"/>
      <c r="E185" s="21" t="n"/>
      <c r="F185" s="23">
        <f>IFERROR(IF(OR(C185="",D185=""),"",D185*VLOOKUP(C185,'Setup - Mix Design'!$A$5:$I$304,2,0)),"")</f>
        <v/>
      </c>
      <c r="G185" s="23">
        <f>IFERROR(IF(OR(C185="",D185=""),"",D185*VLOOKUP(C185,'Setup - Mix Design'!$A$5:$I$304,3,0)),"")</f>
        <v/>
      </c>
      <c r="H185" s="23">
        <f>IFERROR(IF(OR(C185="",D185=""),"",D185*VLOOKUP(C185,'Setup - Mix Design'!$A$5:$I$304,4,0)),"")</f>
        <v/>
      </c>
      <c r="I185" s="23">
        <f>IFERROR(IF(OR(C185="",D185=""),"",D185*VLOOKUP(C185,'Setup - Mix Design'!$A$5:$I$304,5,0)),"")</f>
        <v/>
      </c>
      <c r="J185" s="23">
        <f>IFERROR(IF(OR(C185="",D185=""),"",D185*VLOOKUP(C185,'Setup - Mix Design'!$A$5:$I$304,6,0)),"")</f>
        <v/>
      </c>
      <c r="K185" s="23">
        <f>IFERROR(IF(OR(C185="",D185=""),"",D185*VLOOKUP(C185,'Setup - Mix Design'!$A$5:$I$304,7,0)),"")</f>
        <v/>
      </c>
    </row>
    <row r="186">
      <c r="A186" s="26" t="n"/>
      <c r="B186" s="21" t="n"/>
      <c r="C186" s="21" t="n"/>
      <c r="D186" s="22" t="n"/>
      <c r="E186" s="21" t="n"/>
      <c r="F186" s="23">
        <f>IFERROR(IF(OR(C186="",D186=""),"",D186*VLOOKUP(C186,'Setup - Mix Design'!$A$5:$I$304,2,0)),"")</f>
        <v/>
      </c>
      <c r="G186" s="23">
        <f>IFERROR(IF(OR(C186="",D186=""),"",D186*VLOOKUP(C186,'Setup - Mix Design'!$A$5:$I$304,3,0)),"")</f>
        <v/>
      </c>
      <c r="H186" s="23">
        <f>IFERROR(IF(OR(C186="",D186=""),"",D186*VLOOKUP(C186,'Setup - Mix Design'!$A$5:$I$304,4,0)),"")</f>
        <v/>
      </c>
      <c r="I186" s="23">
        <f>IFERROR(IF(OR(C186="",D186=""),"",D186*VLOOKUP(C186,'Setup - Mix Design'!$A$5:$I$304,5,0)),"")</f>
        <v/>
      </c>
      <c r="J186" s="23">
        <f>IFERROR(IF(OR(C186="",D186=""),"",D186*VLOOKUP(C186,'Setup - Mix Design'!$A$5:$I$304,6,0)),"")</f>
        <v/>
      </c>
      <c r="K186" s="23">
        <f>IFERROR(IF(OR(C186="",D186=""),"",D186*VLOOKUP(C186,'Setup - Mix Design'!$A$5:$I$304,7,0)),"")</f>
        <v/>
      </c>
    </row>
    <row r="187">
      <c r="A187" s="26" t="n"/>
      <c r="B187" s="21" t="n"/>
      <c r="C187" s="21" t="n"/>
      <c r="D187" s="22" t="n"/>
      <c r="E187" s="21" t="n"/>
      <c r="F187" s="23">
        <f>IFERROR(IF(OR(C187="",D187=""),"",D187*VLOOKUP(C187,'Setup - Mix Design'!$A$5:$I$304,2,0)),"")</f>
        <v/>
      </c>
      <c r="G187" s="23">
        <f>IFERROR(IF(OR(C187="",D187=""),"",D187*VLOOKUP(C187,'Setup - Mix Design'!$A$5:$I$304,3,0)),"")</f>
        <v/>
      </c>
      <c r="H187" s="23">
        <f>IFERROR(IF(OR(C187="",D187=""),"",D187*VLOOKUP(C187,'Setup - Mix Design'!$A$5:$I$304,4,0)),"")</f>
        <v/>
      </c>
      <c r="I187" s="23">
        <f>IFERROR(IF(OR(C187="",D187=""),"",D187*VLOOKUP(C187,'Setup - Mix Design'!$A$5:$I$304,5,0)),"")</f>
        <v/>
      </c>
      <c r="J187" s="23">
        <f>IFERROR(IF(OR(C187="",D187=""),"",D187*VLOOKUP(C187,'Setup - Mix Design'!$A$5:$I$304,6,0)),"")</f>
        <v/>
      </c>
      <c r="K187" s="23">
        <f>IFERROR(IF(OR(C187="",D187=""),"",D187*VLOOKUP(C187,'Setup - Mix Design'!$A$5:$I$304,7,0)),"")</f>
        <v/>
      </c>
    </row>
    <row r="188">
      <c r="A188" s="26" t="n"/>
      <c r="B188" s="21" t="n"/>
      <c r="C188" s="21" t="n"/>
      <c r="D188" s="22" t="n"/>
      <c r="E188" s="21" t="n"/>
      <c r="F188" s="23">
        <f>IFERROR(IF(OR(C188="",D188=""),"",D188*VLOOKUP(C188,'Setup - Mix Design'!$A$5:$I$304,2,0)),"")</f>
        <v/>
      </c>
      <c r="G188" s="23">
        <f>IFERROR(IF(OR(C188="",D188=""),"",D188*VLOOKUP(C188,'Setup - Mix Design'!$A$5:$I$304,3,0)),"")</f>
        <v/>
      </c>
      <c r="H188" s="23">
        <f>IFERROR(IF(OR(C188="",D188=""),"",D188*VLOOKUP(C188,'Setup - Mix Design'!$A$5:$I$304,4,0)),"")</f>
        <v/>
      </c>
      <c r="I188" s="23">
        <f>IFERROR(IF(OR(C188="",D188=""),"",D188*VLOOKUP(C188,'Setup - Mix Design'!$A$5:$I$304,5,0)),"")</f>
        <v/>
      </c>
      <c r="J188" s="23">
        <f>IFERROR(IF(OR(C188="",D188=""),"",D188*VLOOKUP(C188,'Setup - Mix Design'!$A$5:$I$304,6,0)),"")</f>
        <v/>
      </c>
      <c r="K188" s="23">
        <f>IFERROR(IF(OR(C188="",D188=""),"",D188*VLOOKUP(C188,'Setup - Mix Design'!$A$5:$I$304,7,0)),"")</f>
        <v/>
      </c>
    </row>
    <row r="189">
      <c r="A189" s="26" t="n"/>
      <c r="B189" s="21" t="n"/>
      <c r="C189" s="21" t="n"/>
      <c r="D189" s="22" t="n"/>
      <c r="E189" s="21" t="n"/>
      <c r="F189" s="23">
        <f>IFERROR(IF(OR(C189="",D189=""),"",D189*VLOOKUP(C189,'Setup - Mix Design'!$A$5:$I$304,2,0)),"")</f>
        <v/>
      </c>
      <c r="G189" s="23">
        <f>IFERROR(IF(OR(C189="",D189=""),"",D189*VLOOKUP(C189,'Setup - Mix Design'!$A$5:$I$304,3,0)),"")</f>
        <v/>
      </c>
      <c r="H189" s="23">
        <f>IFERROR(IF(OR(C189="",D189=""),"",D189*VLOOKUP(C189,'Setup - Mix Design'!$A$5:$I$304,4,0)),"")</f>
        <v/>
      </c>
      <c r="I189" s="23">
        <f>IFERROR(IF(OR(C189="",D189=""),"",D189*VLOOKUP(C189,'Setup - Mix Design'!$A$5:$I$304,5,0)),"")</f>
        <v/>
      </c>
      <c r="J189" s="23">
        <f>IFERROR(IF(OR(C189="",D189=""),"",D189*VLOOKUP(C189,'Setup - Mix Design'!$A$5:$I$304,6,0)),"")</f>
        <v/>
      </c>
      <c r="K189" s="23">
        <f>IFERROR(IF(OR(C189="",D189=""),"",D189*VLOOKUP(C189,'Setup - Mix Design'!$A$5:$I$304,7,0)),"")</f>
        <v/>
      </c>
    </row>
    <row r="190">
      <c r="A190" s="26" t="n"/>
      <c r="B190" s="21" t="n"/>
      <c r="C190" s="21" t="n"/>
      <c r="D190" s="22" t="n"/>
      <c r="E190" s="21" t="n"/>
      <c r="F190" s="23">
        <f>IFERROR(IF(OR(C190="",D190=""),"",D190*VLOOKUP(C190,'Setup - Mix Design'!$A$5:$I$304,2,0)),"")</f>
        <v/>
      </c>
      <c r="G190" s="23">
        <f>IFERROR(IF(OR(C190="",D190=""),"",D190*VLOOKUP(C190,'Setup - Mix Design'!$A$5:$I$304,3,0)),"")</f>
        <v/>
      </c>
      <c r="H190" s="23">
        <f>IFERROR(IF(OR(C190="",D190=""),"",D190*VLOOKUP(C190,'Setup - Mix Design'!$A$5:$I$304,4,0)),"")</f>
        <v/>
      </c>
      <c r="I190" s="23">
        <f>IFERROR(IF(OR(C190="",D190=""),"",D190*VLOOKUP(C190,'Setup - Mix Design'!$A$5:$I$304,5,0)),"")</f>
        <v/>
      </c>
      <c r="J190" s="23">
        <f>IFERROR(IF(OR(C190="",D190=""),"",D190*VLOOKUP(C190,'Setup - Mix Design'!$A$5:$I$304,6,0)),"")</f>
        <v/>
      </c>
      <c r="K190" s="23">
        <f>IFERROR(IF(OR(C190="",D190=""),"",D190*VLOOKUP(C190,'Setup - Mix Design'!$A$5:$I$304,7,0)),"")</f>
        <v/>
      </c>
    </row>
    <row r="191">
      <c r="A191" s="26" t="n"/>
      <c r="B191" s="21" t="n"/>
      <c r="C191" s="21" t="n"/>
      <c r="D191" s="22" t="n"/>
      <c r="E191" s="21" t="n"/>
      <c r="F191" s="23">
        <f>IFERROR(IF(OR(C191="",D191=""),"",D191*VLOOKUP(C191,'Setup - Mix Design'!$A$5:$I$304,2,0)),"")</f>
        <v/>
      </c>
      <c r="G191" s="23">
        <f>IFERROR(IF(OR(C191="",D191=""),"",D191*VLOOKUP(C191,'Setup - Mix Design'!$A$5:$I$304,3,0)),"")</f>
        <v/>
      </c>
      <c r="H191" s="23">
        <f>IFERROR(IF(OR(C191="",D191=""),"",D191*VLOOKUP(C191,'Setup - Mix Design'!$A$5:$I$304,4,0)),"")</f>
        <v/>
      </c>
      <c r="I191" s="23">
        <f>IFERROR(IF(OR(C191="",D191=""),"",D191*VLOOKUP(C191,'Setup - Mix Design'!$A$5:$I$304,5,0)),"")</f>
        <v/>
      </c>
      <c r="J191" s="23">
        <f>IFERROR(IF(OR(C191="",D191=""),"",D191*VLOOKUP(C191,'Setup - Mix Design'!$A$5:$I$304,6,0)),"")</f>
        <v/>
      </c>
      <c r="K191" s="23">
        <f>IFERROR(IF(OR(C191="",D191=""),"",D191*VLOOKUP(C191,'Setup - Mix Design'!$A$5:$I$304,7,0)),"")</f>
        <v/>
      </c>
    </row>
    <row r="192">
      <c r="A192" s="26" t="n"/>
      <c r="B192" s="21" t="n"/>
      <c r="C192" s="21" t="n"/>
      <c r="D192" s="22" t="n"/>
      <c r="E192" s="21" t="n"/>
      <c r="F192" s="23">
        <f>IFERROR(IF(OR(C192="",D192=""),"",D192*VLOOKUP(C192,'Setup - Mix Design'!$A$5:$I$304,2,0)),"")</f>
        <v/>
      </c>
      <c r="G192" s="23">
        <f>IFERROR(IF(OR(C192="",D192=""),"",D192*VLOOKUP(C192,'Setup - Mix Design'!$A$5:$I$304,3,0)),"")</f>
        <v/>
      </c>
      <c r="H192" s="23">
        <f>IFERROR(IF(OR(C192="",D192=""),"",D192*VLOOKUP(C192,'Setup - Mix Design'!$A$5:$I$304,4,0)),"")</f>
        <v/>
      </c>
      <c r="I192" s="23">
        <f>IFERROR(IF(OR(C192="",D192=""),"",D192*VLOOKUP(C192,'Setup - Mix Design'!$A$5:$I$304,5,0)),"")</f>
        <v/>
      </c>
      <c r="J192" s="23">
        <f>IFERROR(IF(OR(C192="",D192=""),"",D192*VLOOKUP(C192,'Setup - Mix Design'!$A$5:$I$304,6,0)),"")</f>
        <v/>
      </c>
      <c r="K192" s="23">
        <f>IFERROR(IF(OR(C192="",D192=""),"",D192*VLOOKUP(C192,'Setup - Mix Design'!$A$5:$I$304,7,0)),"")</f>
        <v/>
      </c>
    </row>
    <row r="193">
      <c r="A193" s="26" t="n"/>
      <c r="B193" s="21" t="n"/>
      <c r="C193" s="21" t="n"/>
      <c r="D193" s="22" t="n"/>
      <c r="E193" s="21" t="n"/>
      <c r="F193" s="23">
        <f>IFERROR(IF(OR(C193="",D193=""),"",D193*VLOOKUP(C193,'Setup - Mix Design'!$A$5:$I$304,2,0)),"")</f>
        <v/>
      </c>
      <c r="G193" s="23">
        <f>IFERROR(IF(OR(C193="",D193=""),"",D193*VLOOKUP(C193,'Setup - Mix Design'!$A$5:$I$304,3,0)),"")</f>
        <v/>
      </c>
      <c r="H193" s="23">
        <f>IFERROR(IF(OR(C193="",D193=""),"",D193*VLOOKUP(C193,'Setup - Mix Design'!$A$5:$I$304,4,0)),"")</f>
        <v/>
      </c>
      <c r="I193" s="23">
        <f>IFERROR(IF(OR(C193="",D193=""),"",D193*VLOOKUP(C193,'Setup - Mix Design'!$A$5:$I$304,5,0)),"")</f>
        <v/>
      </c>
      <c r="J193" s="23">
        <f>IFERROR(IF(OR(C193="",D193=""),"",D193*VLOOKUP(C193,'Setup - Mix Design'!$A$5:$I$304,6,0)),"")</f>
        <v/>
      </c>
      <c r="K193" s="23">
        <f>IFERROR(IF(OR(C193="",D193=""),"",D193*VLOOKUP(C193,'Setup - Mix Design'!$A$5:$I$304,7,0)),"")</f>
        <v/>
      </c>
    </row>
    <row r="194">
      <c r="A194" s="26" t="n"/>
      <c r="B194" s="21" t="n"/>
      <c r="C194" s="21" t="n"/>
      <c r="D194" s="22" t="n"/>
      <c r="E194" s="21" t="n"/>
      <c r="F194" s="23">
        <f>IFERROR(IF(OR(C194="",D194=""),"",D194*VLOOKUP(C194,'Setup - Mix Design'!$A$5:$I$304,2,0)),"")</f>
        <v/>
      </c>
      <c r="G194" s="23">
        <f>IFERROR(IF(OR(C194="",D194=""),"",D194*VLOOKUP(C194,'Setup - Mix Design'!$A$5:$I$304,3,0)),"")</f>
        <v/>
      </c>
      <c r="H194" s="23">
        <f>IFERROR(IF(OR(C194="",D194=""),"",D194*VLOOKUP(C194,'Setup - Mix Design'!$A$5:$I$304,4,0)),"")</f>
        <v/>
      </c>
      <c r="I194" s="23">
        <f>IFERROR(IF(OR(C194="",D194=""),"",D194*VLOOKUP(C194,'Setup - Mix Design'!$A$5:$I$304,5,0)),"")</f>
        <v/>
      </c>
      <c r="J194" s="23">
        <f>IFERROR(IF(OR(C194="",D194=""),"",D194*VLOOKUP(C194,'Setup - Mix Design'!$A$5:$I$304,6,0)),"")</f>
        <v/>
      </c>
      <c r="K194" s="23">
        <f>IFERROR(IF(OR(C194="",D194=""),"",D194*VLOOKUP(C194,'Setup - Mix Design'!$A$5:$I$304,7,0)),"")</f>
        <v/>
      </c>
    </row>
    <row r="195">
      <c r="A195" s="26" t="n"/>
      <c r="B195" s="21" t="n"/>
      <c r="C195" s="21" t="n"/>
      <c r="D195" s="22" t="n"/>
      <c r="E195" s="21" t="n"/>
      <c r="F195" s="23">
        <f>IFERROR(IF(OR(C195="",D195=""),"",D195*VLOOKUP(C195,'Setup - Mix Design'!$A$5:$I$304,2,0)),"")</f>
        <v/>
      </c>
      <c r="G195" s="23">
        <f>IFERROR(IF(OR(C195="",D195=""),"",D195*VLOOKUP(C195,'Setup - Mix Design'!$A$5:$I$304,3,0)),"")</f>
        <v/>
      </c>
      <c r="H195" s="23">
        <f>IFERROR(IF(OR(C195="",D195=""),"",D195*VLOOKUP(C195,'Setup - Mix Design'!$A$5:$I$304,4,0)),"")</f>
        <v/>
      </c>
      <c r="I195" s="23">
        <f>IFERROR(IF(OR(C195="",D195=""),"",D195*VLOOKUP(C195,'Setup - Mix Design'!$A$5:$I$304,5,0)),"")</f>
        <v/>
      </c>
      <c r="J195" s="23">
        <f>IFERROR(IF(OR(C195="",D195=""),"",D195*VLOOKUP(C195,'Setup - Mix Design'!$A$5:$I$304,6,0)),"")</f>
        <v/>
      </c>
      <c r="K195" s="23">
        <f>IFERROR(IF(OR(C195="",D195=""),"",D195*VLOOKUP(C195,'Setup - Mix Design'!$A$5:$I$304,7,0)),"")</f>
        <v/>
      </c>
    </row>
    <row r="196">
      <c r="A196" s="26" t="n"/>
      <c r="B196" s="21" t="n"/>
      <c r="C196" s="21" t="n"/>
      <c r="D196" s="22" t="n"/>
      <c r="E196" s="21" t="n"/>
      <c r="F196" s="23">
        <f>IFERROR(IF(OR(C196="",D196=""),"",D196*VLOOKUP(C196,'Setup - Mix Design'!$A$5:$I$304,2,0)),"")</f>
        <v/>
      </c>
      <c r="G196" s="23">
        <f>IFERROR(IF(OR(C196="",D196=""),"",D196*VLOOKUP(C196,'Setup - Mix Design'!$A$5:$I$304,3,0)),"")</f>
        <v/>
      </c>
      <c r="H196" s="23">
        <f>IFERROR(IF(OR(C196="",D196=""),"",D196*VLOOKUP(C196,'Setup - Mix Design'!$A$5:$I$304,4,0)),"")</f>
        <v/>
      </c>
      <c r="I196" s="23">
        <f>IFERROR(IF(OR(C196="",D196=""),"",D196*VLOOKUP(C196,'Setup - Mix Design'!$A$5:$I$304,5,0)),"")</f>
        <v/>
      </c>
      <c r="J196" s="23">
        <f>IFERROR(IF(OR(C196="",D196=""),"",D196*VLOOKUP(C196,'Setup - Mix Design'!$A$5:$I$304,6,0)),"")</f>
        <v/>
      </c>
      <c r="K196" s="23">
        <f>IFERROR(IF(OR(C196="",D196=""),"",D196*VLOOKUP(C196,'Setup - Mix Design'!$A$5:$I$304,7,0)),"")</f>
        <v/>
      </c>
    </row>
    <row r="197">
      <c r="A197" s="26" t="n"/>
      <c r="B197" s="21" t="n"/>
      <c r="C197" s="21" t="n"/>
      <c r="D197" s="22" t="n"/>
      <c r="E197" s="21" t="n"/>
      <c r="F197" s="23">
        <f>IFERROR(IF(OR(C197="",D197=""),"",D197*VLOOKUP(C197,'Setup - Mix Design'!$A$5:$I$304,2,0)),"")</f>
        <v/>
      </c>
      <c r="G197" s="23">
        <f>IFERROR(IF(OR(C197="",D197=""),"",D197*VLOOKUP(C197,'Setup - Mix Design'!$A$5:$I$304,3,0)),"")</f>
        <v/>
      </c>
      <c r="H197" s="23">
        <f>IFERROR(IF(OR(C197="",D197=""),"",D197*VLOOKUP(C197,'Setup - Mix Design'!$A$5:$I$304,4,0)),"")</f>
        <v/>
      </c>
      <c r="I197" s="23">
        <f>IFERROR(IF(OR(C197="",D197=""),"",D197*VLOOKUP(C197,'Setup - Mix Design'!$A$5:$I$304,5,0)),"")</f>
        <v/>
      </c>
      <c r="J197" s="23">
        <f>IFERROR(IF(OR(C197="",D197=""),"",D197*VLOOKUP(C197,'Setup - Mix Design'!$A$5:$I$304,6,0)),"")</f>
        <v/>
      </c>
      <c r="K197" s="23">
        <f>IFERROR(IF(OR(C197="",D197=""),"",D197*VLOOKUP(C197,'Setup - Mix Design'!$A$5:$I$304,7,0)),"")</f>
        <v/>
      </c>
    </row>
    <row r="198">
      <c r="A198" s="26" t="n"/>
      <c r="B198" s="21" t="n"/>
      <c r="C198" s="21" t="n"/>
      <c r="D198" s="22" t="n"/>
      <c r="E198" s="21" t="n"/>
      <c r="F198" s="23">
        <f>IFERROR(IF(OR(C198="",D198=""),"",D198*VLOOKUP(C198,'Setup - Mix Design'!$A$5:$I$304,2,0)),"")</f>
        <v/>
      </c>
      <c r="G198" s="23">
        <f>IFERROR(IF(OR(C198="",D198=""),"",D198*VLOOKUP(C198,'Setup - Mix Design'!$A$5:$I$304,3,0)),"")</f>
        <v/>
      </c>
      <c r="H198" s="23">
        <f>IFERROR(IF(OR(C198="",D198=""),"",D198*VLOOKUP(C198,'Setup - Mix Design'!$A$5:$I$304,4,0)),"")</f>
        <v/>
      </c>
      <c r="I198" s="23">
        <f>IFERROR(IF(OR(C198="",D198=""),"",D198*VLOOKUP(C198,'Setup - Mix Design'!$A$5:$I$304,5,0)),"")</f>
        <v/>
      </c>
      <c r="J198" s="23">
        <f>IFERROR(IF(OR(C198="",D198=""),"",D198*VLOOKUP(C198,'Setup - Mix Design'!$A$5:$I$304,6,0)),"")</f>
        <v/>
      </c>
      <c r="K198" s="23">
        <f>IFERROR(IF(OR(C198="",D198=""),"",D198*VLOOKUP(C198,'Setup - Mix Design'!$A$5:$I$304,7,0)),"")</f>
        <v/>
      </c>
    </row>
    <row r="199">
      <c r="A199" s="26" t="n"/>
      <c r="B199" s="21" t="n"/>
      <c r="C199" s="21" t="n"/>
      <c r="D199" s="22" t="n"/>
      <c r="E199" s="21" t="n"/>
      <c r="F199" s="23">
        <f>IFERROR(IF(OR(C199="",D199=""),"",D199*VLOOKUP(C199,'Setup - Mix Design'!$A$5:$I$304,2,0)),"")</f>
        <v/>
      </c>
      <c r="G199" s="23">
        <f>IFERROR(IF(OR(C199="",D199=""),"",D199*VLOOKUP(C199,'Setup - Mix Design'!$A$5:$I$304,3,0)),"")</f>
        <v/>
      </c>
      <c r="H199" s="23">
        <f>IFERROR(IF(OR(C199="",D199=""),"",D199*VLOOKUP(C199,'Setup - Mix Design'!$A$5:$I$304,4,0)),"")</f>
        <v/>
      </c>
      <c r="I199" s="23">
        <f>IFERROR(IF(OR(C199="",D199=""),"",D199*VLOOKUP(C199,'Setup - Mix Design'!$A$5:$I$304,5,0)),"")</f>
        <v/>
      </c>
      <c r="J199" s="23">
        <f>IFERROR(IF(OR(C199="",D199=""),"",D199*VLOOKUP(C199,'Setup - Mix Design'!$A$5:$I$304,6,0)),"")</f>
        <v/>
      </c>
      <c r="K199" s="23">
        <f>IFERROR(IF(OR(C199="",D199=""),"",D199*VLOOKUP(C199,'Setup - Mix Design'!$A$5:$I$304,7,0)),"")</f>
        <v/>
      </c>
    </row>
    <row r="200">
      <c r="A200" s="26" t="n"/>
      <c r="B200" s="21" t="n"/>
      <c r="C200" s="21" t="n"/>
      <c r="D200" s="22" t="n"/>
      <c r="E200" s="21" t="n"/>
      <c r="F200" s="23">
        <f>IFERROR(IF(OR(C200="",D200=""),"",D200*VLOOKUP(C200,'Setup - Mix Design'!$A$5:$I$304,2,0)),"")</f>
        <v/>
      </c>
      <c r="G200" s="23">
        <f>IFERROR(IF(OR(C200="",D200=""),"",D200*VLOOKUP(C200,'Setup - Mix Design'!$A$5:$I$304,3,0)),"")</f>
        <v/>
      </c>
      <c r="H200" s="23">
        <f>IFERROR(IF(OR(C200="",D200=""),"",D200*VLOOKUP(C200,'Setup - Mix Design'!$A$5:$I$304,4,0)),"")</f>
        <v/>
      </c>
      <c r="I200" s="23">
        <f>IFERROR(IF(OR(C200="",D200=""),"",D200*VLOOKUP(C200,'Setup - Mix Design'!$A$5:$I$304,5,0)),"")</f>
        <v/>
      </c>
      <c r="J200" s="23">
        <f>IFERROR(IF(OR(C200="",D200=""),"",D200*VLOOKUP(C200,'Setup - Mix Design'!$A$5:$I$304,6,0)),"")</f>
        <v/>
      </c>
      <c r="K200" s="23">
        <f>IFERROR(IF(OR(C200="",D200=""),"",D200*VLOOKUP(C200,'Setup - Mix Design'!$A$5:$I$304,7,0)),"")</f>
        <v/>
      </c>
    </row>
    <row r="201">
      <c r="A201" s="26" t="n"/>
      <c r="B201" s="21" t="n"/>
      <c r="C201" s="21" t="n"/>
      <c r="D201" s="22" t="n"/>
      <c r="E201" s="21" t="n"/>
      <c r="F201" s="23">
        <f>IFERROR(IF(OR(C201="",D201=""),"",D201*VLOOKUP(C201,'Setup - Mix Design'!$A$5:$I$304,2,0)),"")</f>
        <v/>
      </c>
      <c r="G201" s="23">
        <f>IFERROR(IF(OR(C201="",D201=""),"",D201*VLOOKUP(C201,'Setup - Mix Design'!$A$5:$I$304,3,0)),"")</f>
        <v/>
      </c>
      <c r="H201" s="23">
        <f>IFERROR(IF(OR(C201="",D201=""),"",D201*VLOOKUP(C201,'Setup - Mix Design'!$A$5:$I$304,4,0)),"")</f>
        <v/>
      </c>
      <c r="I201" s="23">
        <f>IFERROR(IF(OR(C201="",D201=""),"",D201*VLOOKUP(C201,'Setup - Mix Design'!$A$5:$I$304,5,0)),"")</f>
        <v/>
      </c>
      <c r="J201" s="23">
        <f>IFERROR(IF(OR(C201="",D201=""),"",D201*VLOOKUP(C201,'Setup - Mix Design'!$A$5:$I$304,6,0)),"")</f>
        <v/>
      </c>
      <c r="K201" s="23">
        <f>IFERROR(IF(OR(C201="",D201=""),"",D201*VLOOKUP(C201,'Setup - Mix Design'!$A$5:$I$304,7,0)),"")</f>
        <v/>
      </c>
    </row>
    <row r="202">
      <c r="A202" s="26" t="n"/>
      <c r="B202" s="21" t="n"/>
      <c r="C202" s="21" t="n"/>
      <c r="D202" s="22" t="n"/>
      <c r="E202" s="21" t="n"/>
      <c r="F202" s="23">
        <f>IFERROR(IF(OR(C202="",D202=""),"",D202*VLOOKUP(C202,'Setup - Mix Design'!$A$5:$I$304,2,0)),"")</f>
        <v/>
      </c>
      <c r="G202" s="23">
        <f>IFERROR(IF(OR(C202="",D202=""),"",D202*VLOOKUP(C202,'Setup - Mix Design'!$A$5:$I$304,3,0)),"")</f>
        <v/>
      </c>
      <c r="H202" s="23">
        <f>IFERROR(IF(OR(C202="",D202=""),"",D202*VLOOKUP(C202,'Setup - Mix Design'!$A$5:$I$304,4,0)),"")</f>
        <v/>
      </c>
      <c r="I202" s="23">
        <f>IFERROR(IF(OR(C202="",D202=""),"",D202*VLOOKUP(C202,'Setup - Mix Design'!$A$5:$I$304,5,0)),"")</f>
        <v/>
      </c>
      <c r="J202" s="23">
        <f>IFERROR(IF(OR(C202="",D202=""),"",D202*VLOOKUP(C202,'Setup - Mix Design'!$A$5:$I$304,6,0)),"")</f>
        <v/>
      </c>
      <c r="K202" s="23">
        <f>IFERROR(IF(OR(C202="",D202=""),"",D202*VLOOKUP(C202,'Setup - Mix Design'!$A$5:$I$304,7,0)),"")</f>
        <v/>
      </c>
    </row>
    <row r="203">
      <c r="A203" s="26" t="n"/>
      <c r="B203" s="21" t="n"/>
      <c r="C203" s="21" t="n"/>
      <c r="D203" s="22" t="n"/>
      <c r="E203" s="21" t="n"/>
      <c r="F203" s="23">
        <f>IFERROR(IF(OR(C203="",D203=""),"",D203*VLOOKUP(C203,'Setup - Mix Design'!$A$5:$I$304,2,0)),"")</f>
        <v/>
      </c>
      <c r="G203" s="23">
        <f>IFERROR(IF(OR(C203="",D203=""),"",D203*VLOOKUP(C203,'Setup - Mix Design'!$A$5:$I$304,3,0)),"")</f>
        <v/>
      </c>
      <c r="H203" s="23">
        <f>IFERROR(IF(OR(C203="",D203=""),"",D203*VLOOKUP(C203,'Setup - Mix Design'!$A$5:$I$304,4,0)),"")</f>
        <v/>
      </c>
      <c r="I203" s="23">
        <f>IFERROR(IF(OR(C203="",D203=""),"",D203*VLOOKUP(C203,'Setup - Mix Design'!$A$5:$I$304,5,0)),"")</f>
        <v/>
      </c>
      <c r="J203" s="23">
        <f>IFERROR(IF(OR(C203="",D203=""),"",D203*VLOOKUP(C203,'Setup - Mix Design'!$A$5:$I$304,6,0)),"")</f>
        <v/>
      </c>
      <c r="K203" s="23">
        <f>IFERROR(IF(OR(C203="",D203=""),"",D203*VLOOKUP(C203,'Setup - Mix Design'!$A$5:$I$304,7,0)),"")</f>
        <v/>
      </c>
    </row>
    <row r="204">
      <c r="A204" s="26" t="n"/>
      <c r="B204" s="21" t="n"/>
      <c r="C204" s="21" t="n"/>
      <c r="D204" s="22" t="n"/>
      <c r="E204" s="21" t="n"/>
      <c r="F204" s="23">
        <f>IFERROR(IF(OR(C204="",D204=""),"",D204*VLOOKUP(C204,'Setup - Mix Design'!$A$5:$I$304,2,0)),"")</f>
        <v/>
      </c>
      <c r="G204" s="23">
        <f>IFERROR(IF(OR(C204="",D204=""),"",D204*VLOOKUP(C204,'Setup - Mix Design'!$A$5:$I$304,3,0)),"")</f>
        <v/>
      </c>
      <c r="H204" s="23">
        <f>IFERROR(IF(OR(C204="",D204=""),"",D204*VLOOKUP(C204,'Setup - Mix Design'!$A$5:$I$304,4,0)),"")</f>
        <v/>
      </c>
      <c r="I204" s="23">
        <f>IFERROR(IF(OR(C204="",D204=""),"",D204*VLOOKUP(C204,'Setup - Mix Design'!$A$5:$I$304,5,0)),"")</f>
        <v/>
      </c>
      <c r="J204" s="23">
        <f>IFERROR(IF(OR(C204="",D204=""),"",D204*VLOOKUP(C204,'Setup - Mix Design'!$A$5:$I$304,6,0)),"")</f>
        <v/>
      </c>
      <c r="K204" s="23">
        <f>IFERROR(IF(OR(C204="",D204=""),"",D204*VLOOKUP(C204,'Setup - Mix Design'!$A$5:$I$304,7,0)),"")</f>
        <v/>
      </c>
    </row>
    <row r="205">
      <c r="A205" s="26" t="n"/>
      <c r="B205" s="21" t="n"/>
      <c r="C205" s="21" t="n"/>
      <c r="D205" s="22" t="n"/>
      <c r="E205" s="21" t="n"/>
      <c r="F205" s="23">
        <f>IFERROR(IF(OR(C205="",D205=""),"",D205*VLOOKUP(C205,'Setup - Mix Design'!$A$5:$I$304,2,0)),"")</f>
        <v/>
      </c>
      <c r="G205" s="23">
        <f>IFERROR(IF(OR(C205="",D205=""),"",D205*VLOOKUP(C205,'Setup - Mix Design'!$A$5:$I$304,3,0)),"")</f>
        <v/>
      </c>
      <c r="H205" s="23">
        <f>IFERROR(IF(OR(C205="",D205=""),"",D205*VLOOKUP(C205,'Setup - Mix Design'!$A$5:$I$304,4,0)),"")</f>
        <v/>
      </c>
      <c r="I205" s="23">
        <f>IFERROR(IF(OR(C205="",D205=""),"",D205*VLOOKUP(C205,'Setup - Mix Design'!$A$5:$I$304,5,0)),"")</f>
        <v/>
      </c>
      <c r="J205" s="23">
        <f>IFERROR(IF(OR(C205="",D205=""),"",D205*VLOOKUP(C205,'Setup - Mix Design'!$A$5:$I$304,6,0)),"")</f>
        <v/>
      </c>
      <c r="K205" s="23">
        <f>IFERROR(IF(OR(C205="",D205=""),"",D205*VLOOKUP(C205,'Setup - Mix Design'!$A$5:$I$304,7,0)),"")</f>
        <v/>
      </c>
    </row>
    <row r="206">
      <c r="A206" s="26" t="n"/>
      <c r="B206" s="21" t="n"/>
      <c r="C206" s="21" t="n"/>
      <c r="D206" s="22" t="n"/>
      <c r="E206" s="21" t="n"/>
      <c r="F206" s="23">
        <f>IFERROR(IF(OR(C206="",D206=""),"",D206*VLOOKUP(C206,'Setup - Mix Design'!$A$5:$I$304,2,0)),"")</f>
        <v/>
      </c>
      <c r="G206" s="23">
        <f>IFERROR(IF(OR(C206="",D206=""),"",D206*VLOOKUP(C206,'Setup - Mix Design'!$A$5:$I$304,3,0)),"")</f>
        <v/>
      </c>
      <c r="H206" s="23">
        <f>IFERROR(IF(OR(C206="",D206=""),"",D206*VLOOKUP(C206,'Setup - Mix Design'!$A$5:$I$304,4,0)),"")</f>
        <v/>
      </c>
      <c r="I206" s="23">
        <f>IFERROR(IF(OR(C206="",D206=""),"",D206*VLOOKUP(C206,'Setup - Mix Design'!$A$5:$I$304,5,0)),"")</f>
        <v/>
      </c>
      <c r="J206" s="23">
        <f>IFERROR(IF(OR(C206="",D206=""),"",D206*VLOOKUP(C206,'Setup - Mix Design'!$A$5:$I$304,6,0)),"")</f>
        <v/>
      </c>
      <c r="K206" s="23">
        <f>IFERROR(IF(OR(C206="",D206=""),"",D206*VLOOKUP(C206,'Setup - Mix Design'!$A$5:$I$304,7,0)),"")</f>
        <v/>
      </c>
    </row>
    <row r="207">
      <c r="A207" s="26" t="n"/>
      <c r="B207" s="21" t="n"/>
      <c r="C207" s="21" t="n"/>
      <c r="D207" s="22" t="n"/>
      <c r="E207" s="21" t="n"/>
      <c r="F207" s="23">
        <f>IFERROR(IF(OR(C207="",D207=""),"",D207*VLOOKUP(C207,'Setup - Mix Design'!$A$5:$I$304,2,0)),"")</f>
        <v/>
      </c>
      <c r="G207" s="23">
        <f>IFERROR(IF(OR(C207="",D207=""),"",D207*VLOOKUP(C207,'Setup - Mix Design'!$A$5:$I$304,3,0)),"")</f>
        <v/>
      </c>
      <c r="H207" s="23">
        <f>IFERROR(IF(OR(C207="",D207=""),"",D207*VLOOKUP(C207,'Setup - Mix Design'!$A$5:$I$304,4,0)),"")</f>
        <v/>
      </c>
      <c r="I207" s="23">
        <f>IFERROR(IF(OR(C207="",D207=""),"",D207*VLOOKUP(C207,'Setup - Mix Design'!$A$5:$I$304,5,0)),"")</f>
        <v/>
      </c>
      <c r="J207" s="23">
        <f>IFERROR(IF(OR(C207="",D207=""),"",D207*VLOOKUP(C207,'Setup - Mix Design'!$A$5:$I$304,6,0)),"")</f>
        <v/>
      </c>
      <c r="K207" s="23">
        <f>IFERROR(IF(OR(C207="",D207=""),"",D207*VLOOKUP(C207,'Setup - Mix Design'!$A$5:$I$304,7,0)),"")</f>
        <v/>
      </c>
    </row>
    <row r="208">
      <c r="A208" s="26" t="n"/>
      <c r="B208" s="21" t="n"/>
      <c r="C208" s="21" t="n"/>
      <c r="D208" s="22" t="n"/>
      <c r="E208" s="21" t="n"/>
      <c r="F208" s="23">
        <f>IFERROR(IF(OR(C208="",D208=""),"",D208*VLOOKUP(C208,'Setup - Mix Design'!$A$5:$I$304,2,0)),"")</f>
        <v/>
      </c>
      <c r="G208" s="23">
        <f>IFERROR(IF(OR(C208="",D208=""),"",D208*VLOOKUP(C208,'Setup - Mix Design'!$A$5:$I$304,3,0)),"")</f>
        <v/>
      </c>
      <c r="H208" s="23">
        <f>IFERROR(IF(OR(C208="",D208=""),"",D208*VLOOKUP(C208,'Setup - Mix Design'!$A$5:$I$304,4,0)),"")</f>
        <v/>
      </c>
      <c r="I208" s="23">
        <f>IFERROR(IF(OR(C208="",D208=""),"",D208*VLOOKUP(C208,'Setup - Mix Design'!$A$5:$I$304,5,0)),"")</f>
        <v/>
      </c>
      <c r="J208" s="23">
        <f>IFERROR(IF(OR(C208="",D208=""),"",D208*VLOOKUP(C208,'Setup - Mix Design'!$A$5:$I$304,6,0)),"")</f>
        <v/>
      </c>
      <c r="K208" s="23">
        <f>IFERROR(IF(OR(C208="",D208=""),"",D208*VLOOKUP(C208,'Setup - Mix Design'!$A$5:$I$304,7,0)),"")</f>
        <v/>
      </c>
    </row>
    <row r="209">
      <c r="A209" s="26" t="n"/>
      <c r="B209" s="21" t="n"/>
      <c r="C209" s="21" t="n"/>
      <c r="D209" s="22" t="n"/>
      <c r="E209" s="21" t="n"/>
      <c r="F209" s="23">
        <f>IFERROR(IF(OR(C209="",D209=""),"",D209*VLOOKUP(C209,'Setup - Mix Design'!$A$5:$I$304,2,0)),"")</f>
        <v/>
      </c>
      <c r="G209" s="23">
        <f>IFERROR(IF(OR(C209="",D209=""),"",D209*VLOOKUP(C209,'Setup - Mix Design'!$A$5:$I$304,3,0)),"")</f>
        <v/>
      </c>
      <c r="H209" s="23">
        <f>IFERROR(IF(OR(C209="",D209=""),"",D209*VLOOKUP(C209,'Setup - Mix Design'!$A$5:$I$304,4,0)),"")</f>
        <v/>
      </c>
      <c r="I209" s="23">
        <f>IFERROR(IF(OR(C209="",D209=""),"",D209*VLOOKUP(C209,'Setup - Mix Design'!$A$5:$I$304,5,0)),"")</f>
        <v/>
      </c>
      <c r="J209" s="23">
        <f>IFERROR(IF(OR(C209="",D209=""),"",D209*VLOOKUP(C209,'Setup - Mix Design'!$A$5:$I$304,6,0)),"")</f>
        <v/>
      </c>
      <c r="K209" s="23">
        <f>IFERROR(IF(OR(C209="",D209=""),"",D209*VLOOKUP(C209,'Setup - Mix Design'!$A$5:$I$304,7,0)),"")</f>
        <v/>
      </c>
    </row>
    <row r="210">
      <c r="A210" s="26" t="n"/>
      <c r="B210" s="21" t="n"/>
      <c r="C210" s="21" t="n"/>
      <c r="D210" s="22" t="n"/>
      <c r="E210" s="21" t="n"/>
      <c r="F210" s="23">
        <f>IFERROR(IF(OR(C210="",D210=""),"",D210*VLOOKUP(C210,'Setup - Mix Design'!$A$5:$I$304,2,0)),"")</f>
        <v/>
      </c>
      <c r="G210" s="23">
        <f>IFERROR(IF(OR(C210="",D210=""),"",D210*VLOOKUP(C210,'Setup - Mix Design'!$A$5:$I$304,3,0)),"")</f>
        <v/>
      </c>
      <c r="H210" s="23">
        <f>IFERROR(IF(OR(C210="",D210=""),"",D210*VLOOKUP(C210,'Setup - Mix Design'!$A$5:$I$304,4,0)),"")</f>
        <v/>
      </c>
      <c r="I210" s="23">
        <f>IFERROR(IF(OR(C210="",D210=""),"",D210*VLOOKUP(C210,'Setup - Mix Design'!$A$5:$I$304,5,0)),"")</f>
        <v/>
      </c>
      <c r="J210" s="23">
        <f>IFERROR(IF(OR(C210="",D210=""),"",D210*VLOOKUP(C210,'Setup - Mix Design'!$A$5:$I$304,6,0)),"")</f>
        <v/>
      </c>
      <c r="K210" s="23">
        <f>IFERROR(IF(OR(C210="",D210=""),"",D210*VLOOKUP(C210,'Setup - Mix Design'!$A$5:$I$304,7,0)),"")</f>
        <v/>
      </c>
    </row>
    <row r="211">
      <c r="A211" s="26" t="n"/>
      <c r="B211" s="21" t="n"/>
      <c r="C211" s="21" t="n"/>
      <c r="D211" s="22" t="n"/>
      <c r="E211" s="21" t="n"/>
      <c r="F211" s="23">
        <f>IFERROR(IF(OR(C211="",D211=""),"",D211*VLOOKUP(C211,'Setup - Mix Design'!$A$5:$I$304,2,0)),"")</f>
        <v/>
      </c>
      <c r="G211" s="23">
        <f>IFERROR(IF(OR(C211="",D211=""),"",D211*VLOOKUP(C211,'Setup - Mix Design'!$A$5:$I$304,3,0)),"")</f>
        <v/>
      </c>
      <c r="H211" s="23">
        <f>IFERROR(IF(OR(C211="",D211=""),"",D211*VLOOKUP(C211,'Setup - Mix Design'!$A$5:$I$304,4,0)),"")</f>
        <v/>
      </c>
      <c r="I211" s="23">
        <f>IFERROR(IF(OR(C211="",D211=""),"",D211*VLOOKUP(C211,'Setup - Mix Design'!$A$5:$I$304,5,0)),"")</f>
        <v/>
      </c>
      <c r="J211" s="23">
        <f>IFERROR(IF(OR(C211="",D211=""),"",D211*VLOOKUP(C211,'Setup - Mix Design'!$A$5:$I$304,6,0)),"")</f>
        <v/>
      </c>
      <c r="K211" s="23">
        <f>IFERROR(IF(OR(C211="",D211=""),"",D211*VLOOKUP(C211,'Setup - Mix Design'!$A$5:$I$304,7,0)),"")</f>
        <v/>
      </c>
    </row>
    <row r="212">
      <c r="A212" s="26" t="n"/>
      <c r="B212" s="21" t="n"/>
      <c r="C212" s="21" t="n"/>
      <c r="D212" s="22" t="n"/>
      <c r="E212" s="21" t="n"/>
      <c r="F212" s="23">
        <f>IFERROR(IF(OR(C212="",D212=""),"",D212*VLOOKUP(C212,'Setup - Mix Design'!$A$5:$I$304,2,0)),"")</f>
        <v/>
      </c>
      <c r="G212" s="23">
        <f>IFERROR(IF(OR(C212="",D212=""),"",D212*VLOOKUP(C212,'Setup - Mix Design'!$A$5:$I$304,3,0)),"")</f>
        <v/>
      </c>
      <c r="H212" s="23">
        <f>IFERROR(IF(OR(C212="",D212=""),"",D212*VLOOKUP(C212,'Setup - Mix Design'!$A$5:$I$304,4,0)),"")</f>
        <v/>
      </c>
      <c r="I212" s="23">
        <f>IFERROR(IF(OR(C212="",D212=""),"",D212*VLOOKUP(C212,'Setup - Mix Design'!$A$5:$I$304,5,0)),"")</f>
        <v/>
      </c>
      <c r="J212" s="23">
        <f>IFERROR(IF(OR(C212="",D212=""),"",D212*VLOOKUP(C212,'Setup - Mix Design'!$A$5:$I$304,6,0)),"")</f>
        <v/>
      </c>
      <c r="K212" s="23">
        <f>IFERROR(IF(OR(C212="",D212=""),"",D212*VLOOKUP(C212,'Setup - Mix Design'!$A$5:$I$304,7,0)),"")</f>
        <v/>
      </c>
    </row>
    <row r="213">
      <c r="A213" s="26" t="n"/>
      <c r="B213" s="21" t="n"/>
      <c r="C213" s="21" t="n"/>
      <c r="D213" s="22" t="n"/>
      <c r="E213" s="21" t="n"/>
      <c r="F213" s="23">
        <f>IFERROR(IF(OR(C213="",D213=""),"",D213*VLOOKUP(C213,'Setup - Mix Design'!$A$5:$I$304,2,0)),"")</f>
        <v/>
      </c>
      <c r="G213" s="23">
        <f>IFERROR(IF(OR(C213="",D213=""),"",D213*VLOOKUP(C213,'Setup - Mix Design'!$A$5:$I$304,3,0)),"")</f>
        <v/>
      </c>
      <c r="H213" s="23">
        <f>IFERROR(IF(OR(C213="",D213=""),"",D213*VLOOKUP(C213,'Setup - Mix Design'!$A$5:$I$304,4,0)),"")</f>
        <v/>
      </c>
      <c r="I213" s="23">
        <f>IFERROR(IF(OR(C213="",D213=""),"",D213*VLOOKUP(C213,'Setup - Mix Design'!$A$5:$I$304,5,0)),"")</f>
        <v/>
      </c>
      <c r="J213" s="23">
        <f>IFERROR(IF(OR(C213="",D213=""),"",D213*VLOOKUP(C213,'Setup - Mix Design'!$A$5:$I$304,6,0)),"")</f>
        <v/>
      </c>
      <c r="K213" s="23">
        <f>IFERROR(IF(OR(C213="",D213=""),"",D213*VLOOKUP(C213,'Setup - Mix Design'!$A$5:$I$304,7,0)),"")</f>
        <v/>
      </c>
    </row>
    <row r="214">
      <c r="A214" s="26" t="n"/>
      <c r="B214" s="21" t="n"/>
      <c r="C214" s="21" t="n"/>
      <c r="D214" s="22" t="n"/>
      <c r="E214" s="21" t="n"/>
      <c r="F214" s="23">
        <f>IFERROR(IF(OR(C214="",D214=""),"",D214*VLOOKUP(C214,'Setup - Mix Design'!$A$5:$I$304,2,0)),"")</f>
        <v/>
      </c>
      <c r="G214" s="23">
        <f>IFERROR(IF(OR(C214="",D214=""),"",D214*VLOOKUP(C214,'Setup - Mix Design'!$A$5:$I$304,3,0)),"")</f>
        <v/>
      </c>
      <c r="H214" s="23">
        <f>IFERROR(IF(OR(C214="",D214=""),"",D214*VLOOKUP(C214,'Setup - Mix Design'!$A$5:$I$304,4,0)),"")</f>
        <v/>
      </c>
      <c r="I214" s="23">
        <f>IFERROR(IF(OR(C214="",D214=""),"",D214*VLOOKUP(C214,'Setup - Mix Design'!$A$5:$I$304,5,0)),"")</f>
        <v/>
      </c>
      <c r="J214" s="23">
        <f>IFERROR(IF(OR(C214="",D214=""),"",D214*VLOOKUP(C214,'Setup - Mix Design'!$A$5:$I$304,6,0)),"")</f>
        <v/>
      </c>
      <c r="K214" s="23">
        <f>IFERROR(IF(OR(C214="",D214=""),"",D214*VLOOKUP(C214,'Setup - Mix Design'!$A$5:$I$304,7,0)),"")</f>
        <v/>
      </c>
    </row>
    <row r="215">
      <c r="A215" s="26" t="n"/>
      <c r="B215" s="21" t="n"/>
      <c r="C215" s="21" t="n"/>
      <c r="D215" s="22" t="n"/>
      <c r="E215" s="21" t="n"/>
      <c r="F215" s="23">
        <f>IFERROR(IF(OR(C215="",D215=""),"",D215*VLOOKUP(C215,'Setup - Mix Design'!$A$5:$I$304,2,0)),"")</f>
        <v/>
      </c>
      <c r="G215" s="23">
        <f>IFERROR(IF(OR(C215="",D215=""),"",D215*VLOOKUP(C215,'Setup - Mix Design'!$A$5:$I$304,3,0)),"")</f>
        <v/>
      </c>
      <c r="H215" s="23">
        <f>IFERROR(IF(OR(C215="",D215=""),"",D215*VLOOKUP(C215,'Setup - Mix Design'!$A$5:$I$304,4,0)),"")</f>
        <v/>
      </c>
      <c r="I215" s="23">
        <f>IFERROR(IF(OR(C215="",D215=""),"",D215*VLOOKUP(C215,'Setup - Mix Design'!$A$5:$I$304,5,0)),"")</f>
        <v/>
      </c>
      <c r="J215" s="23">
        <f>IFERROR(IF(OR(C215="",D215=""),"",D215*VLOOKUP(C215,'Setup - Mix Design'!$A$5:$I$304,6,0)),"")</f>
        <v/>
      </c>
      <c r="K215" s="23">
        <f>IFERROR(IF(OR(C215="",D215=""),"",D215*VLOOKUP(C215,'Setup - Mix Design'!$A$5:$I$304,7,0)),"")</f>
        <v/>
      </c>
    </row>
    <row r="216">
      <c r="A216" s="26" t="n"/>
      <c r="B216" s="21" t="n"/>
      <c r="C216" s="21" t="n"/>
      <c r="D216" s="22" t="n"/>
      <c r="E216" s="21" t="n"/>
      <c r="F216" s="23">
        <f>IFERROR(IF(OR(C216="",D216=""),"",D216*VLOOKUP(C216,'Setup - Mix Design'!$A$5:$I$304,2,0)),"")</f>
        <v/>
      </c>
      <c r="G216" s="23">
        <f>IFERROR(IF(OR(C216="",D216=""),"",D216*VLOOKUP(C216,'Setup - Mix Design'!$A$5:$I$304,3,0)),"")</f>
        <v/>
      </c>
      <c r="H216" s="23">
        <f>IFERROR(IF(OR(C216="",D216=""),"",D216*VLOOKUP(C216,'Setup - Mix Design'!$A$5:$I$304,4,0)),"")</f>
        <v/>
      </c>
      <c r="I216" s="23">
        <f>IFERROR(IF(OR(C216="",D216=""),"",D216*VLOOKUP(C216,'Setup - Mix Design'!$A$5:$I$304,5,0)),"")</f>
        <v/>
      </c>
      <c r="J216" s="23">
        <f>IFERROR(IF(OR(C216="",D216=""),"",D216*VLOOKUP(C216,'Setup - Mix Design'!$A$5:$I$304,6,0)),"")</f>
        <v/>
      </c>
      <c r="K216" s="23">
        <f>IFERROR(IF(OR(C216="",D216=""),"",D216*VLOOKUP(C216,'Setup - Mix Design'!$A$5:$I$304,7,0)),"")</f>
        <v/>
      </c>
    </row>
    <row r="217">
      <c r="A217" s="26" t="n"/>
      <c r="B217" s="21" t="n"/>
      <c r="C217" s="21" t="n"/>
      <c r="D217" s="22" t="n"/>
      <c r="E217" s="21" t="n"/>
      <c r="F217" s="23">
        <f>IFERROR(IF(OR(C217="",D217=""),"",D217*VLOOKUP(C217,'Setup - Mix Design'!$A$5:$I$304,2,0)),"")</f>
        <v/>
      </c>
      <c r="G217" s="23">
        <f>IFERROR(IF(OR(C217="",D217=""),"",D217*VLOOKUP(C217,'Setup - Mix Design'!$A$5:$I$304,3,0)),"")</f>
        <v/>
      </c>
      <c r="H217" s="23">
        <f>IFERROR(IF(OR(C217="",D217=""),"",D217*VLOOKUP(C217,'Setup - Mix Design'!$A$5:$I$304,4,0)),"")</f>
        <v/>
      </c>
      <c r="I217" s="23">
        <f>IFERROR(IF(OR(C217="",D217=""),"",D217*VLOOKUP(C217,'Setup - Mix Design'!$A$5:$I$304,5,0)),"")</f>
        <v/>
      </c>
      <c r="J217" s="23">
        <f>IFERROR(IF(OR(C217="",D217=""),"",D217*VLOOKUP(C217,'Setup - Mix Design'!$A$5:$I$304,6,0)),"")</f>
        <v/>
      </c>
      <c r="K217" s="23">
        <f>IFERROR(IF(OR(C217="",D217=""),"",D217*VLOOKUP(C217,'Setup - Mix Design'!$A$5:$I$304,7,0)),"")</f>
        <v/>
      </c>
    </row>
    <row r="218">
      <c r="A218" s="26" t="n"/>
      <c r="B218" s="21" t="n"/>
      <c r="C218" s="21" t="n"/>
      <c r="D218" s="22" t="n"/>
      <c r="E218" s="21" t="n"/>
      <c r="F218" s="23">
        <f>IFERROR(IF(OR(C218="",D218=""),"",D218*VLOOKUP(C218,'Setup - Mix Design'!$A$5:$I$304,2,0)),"")</f>
        <v/>
      </c>
      <c r="G218" s="23">
        <f>IFERROR(IF(OR(C218="",D218=""),"",D218*VLOOKUP(C218,'Setup - Mix Design'!$A$5:$I$304,3,0)),"")</f>
        <v/>
      </c>
      <c r="H218" s="23">
        <f>IFERROR(IF(OR(C218="",D218=""),"",D218*VLOOKUP(C218,'Setup - Mix Design'!$A$5:$I$304,4,0)),"")</f>
        <v/>
      </c>
      <c r="I218" s="23">
        <f>IFERROR(IF(OR(C218="",D218=""),"",D218*VLOOKUP(C218,'Setup - Mix Design'!$A$5:$I$304,5,0)),"")</f>
        <v/>
      </c>
      <c r="J218" s="23">
        <f>IFERROR(IF(OR(C218="",D218=""),"",D218*VLOOKUP(C218,'Setup - Mix Design'!$A$5:$I$304,6,0)),"")</f>
        <v/>
      </c>
      <c r="K218" s="23">
        <f>IFERROR(IF(OR(C218="",D218=""),"",D218*VLOOKUP(C218,'Setup - Mix Design'!$A$5:$I$304,7,0)),"")</f>
        <v/>
      </c>
    </row>
    <row r="219">
      <c r="A219" s="26" t="n"/>
      <c r="B219" s="21" t="n"/>
      <c r="C219" s="21" t="n"/>
      <c r="D219" s="22" t="n"/>
      <c r="E219" s="21" t="n"/>
      <c r="F219" s="23">
        <f>IFERROR(IF(OR(C219="",D219=""),"",D219*VLOOKUP(C219,'Setup - Mix Design'!$A$5:$I$304,2,0)),"")</f>
        <v/>
      </c>
      <c r="G219" s="23">
        <f>IFERROR(IF(OR(C219="",D219=""),"",D219*VLOOKUP(C219,'Setup - Mix Design'!$A$5:$I$304,3,0)),"")</f>
        <v/>
      </c>
      <c r="H219" s="23">
        <f>IFERROR(IF(OR(C219="",D219=""),"",D219*VLOOKUP(C219,'Setup - Mix Design'!$A$5:$I$304,4,0)),"")</f>
        <v/>
      </c>
      <c r="I219" s="23">
        <f>IFERROR(IF(OR(C219="",D219=""),"",D219*VLOOKUP(C219,'Setup - Mix Design'!$A$5:$I$304,5,0)),"")</f>
        <v/>
      </c>
      <c r="J219" s="23">
        <f>IFERROR(IF(OR(C219="",D219=""),"",D219*VLOOKUP(C219,'Setup - Mix Design'!$A$5:$I$304,6,0)),"")</f>
        <v/>
      </c>
      <c r="K219" s="23">
        <f>IFERROR(IF(OR(C219="",D219=""),"",D219*VLOOKUP(C219,'Setup - Mix Design'!$A$5:$I$304,7,0)),"")</f>
        <v/>
      </c>
    </row>
    <row r="220">
      <c r="A220" s="26" t="n"/>
      <c r="B220" s="21" t="n"/>
      <c r="C220" s="21" t="n"/>
      <c r="D220" s="22" t="n"/>
      <c r="E220" s="21" t="n"/>
      <c r="F220" s="23">
        <f>IFERROR(IF(OR(C220="",D220=""),"",D220*VLOOKUP(C220,'Setup - Mix Design'!$A$5:$I$304,2,0)),"")</f>
        <v/>
      </c>
      <c r="G220" s="23">
        <f>IFERROR(IF(OR(C220="",D220=""),"",D220*VLOOKUP(C220,'Setup - Mix Design'!$A$5:$I$304,3,0)),"")</f>
        <v/>
      </c>
      <c r="H220" s="23">
        <f>IFERROR(IF(OR(C220="",D220=""),"",D220*VLOOKUP(C220,'Setup - Mix Design'!$A$5:$I$304,4,0)),"")</f>
        <v/>
      </c>
      <c r="I220" s="23">
        <f>IFERROR(IF(OR(C220="",D220=""),"",D220*VLOOKUP(C220,'Setup - Mix Design'!$A$5:$I$304,5,0)),"")</f>
        <v/>
      </c>
      <c r="J220" s="23">
        <f>IFERROR(IF(OR(C220="",D220=""),"",D220*VLOOKUP(C220,'Setup - Mix Design'!$A$5:$I$304,6,0)),"")</f>
        <v/>
      </c>
      <c r="K220" s="23">
        <f>IFERROR(IF(OR(C220="",D220=""),"",D220*VLOOKUP(C220,'Setup - Mix Design'!$A$5:$I$304,7,0)),"")</f>
        <v/>
      </c>
    </row>
    <row r="221">
      <c r="A221" s="26" t="n"/>
      <c r="B221" s="21" t="n"/>
      <c r="C221" s="21" t="n"/>
      <c r="D221" s="22" t="n"/>
      <c r="E221" s="21" t="n"/>
      <c r="F221" s="23">
        <f>IFERROR(IF(OR(C221="",D221=""),"",D221*VLOOKUP(C221,'Setup - Mix Design'!$A$5:$I$304,2,0)),"")</f>
        <v/>
      </c>
      <c r="G221" s="23">
        <f>IFERROR(IF(OR(C221="",D221=""),"",D221*VLOOKUP(C221,'Setup - Mix Design'!$A$5:$I$304,3,0)),"")</f>
        <v/>
      </c>
      <c r="H221" s="23">
        <f>IFERROR(IF(OR(C221="",D221=""),"",D221*VLOOKUP(C221,'Setup - Mix Design'!$A$5:$I$304,4,0)),"")</f>
        <v/>
      </c>
      <c r="I221" s="23">
        <f>IFERROR(IF(OR(C221="",D221=""),"",D221*VLOOKUP(C221,'Setup - Mix Design'!$A$5:$I$304,5,0)),"")</f>
        <v/>
      </c>
      <c r="J221" s="23">
        <f>IFERROR(IF(OR(C221="",D221=""),"",D221*VLOOKUP(C221,'Setup - Mix Design'!$A$5:$I$304,6,0)),"")</f>
        <v/>
      </c>
      <c r="K221" s="23">
        <f>IFERROR(IF(OR(C221="",D221=""),"",D221*VLOOKUP(C221,'Setup - Mix Design'!$A$5:$I$304,7,0)),"")</f>
        <v/>
      </c>
    </row>
    <row r="222">
      <c r="A222" s="26" t="n"/>
      <c r="B222" s="21" t="n"/>
      <c r="C222" s="21" t="n"/>
      <c r="D222" s="22" t="n"/>
      <c r="E222" s="21" t="n"/>
      <c r="F222" s="23">
        <f>IFERROR(IF(OR(C222="",D222=""),"",D222*VLOOKUP(C222,'Setup - Mix Design'!$A$5:$I$304,2,0)),"")</f>
        <v/>
      </c>
      <c r="G222" s="23">
        <f>IFERROR(IF(OR(C222="",D222=""),"",D222*VLOOKUP(C222,'Setup - Mix Design'!$A$5:$I$304,3,0)),"")</f>
        <v/>
      </c>
      <c r="H222" s="23">
        <f>IFERROR(IF(OR(C222="",D222=""),"",D222*VLOOKUP(C222,'Setup - Mix Design'!$A$5:$I$304,4,0)),"")</f>
        <v/>
      </c>
      <c r="I222" s="23">
        <f>IFERROR(IF(OR(C222="",D222=""),"",D222*VLOOKUP(C222,'Setup - Mix Design'!$A$5:$I$304,5,0)),"")</f>
        <v/>
      </c>
      <c r="J222" s="23">
        <f>IFERROR(IF(OR(C222="",D222=""),"",D222*VLOOKUP(C222,'Setup - Mix Design'!$A$5:$I$304,6,0)),"")</f>
        <v/>
      </c>
      <c r="K222" s="23">
        <f>IFERROR(IF(OR(C222="",D222=""),"",D222*VLOOKUP(C222,'Setup - Mix Design'!$A$5:$I$304,7,0)),"")</f>
        <v/>
      </c>
    </row>
    <row r="223">
      <c r="A223" s="26" t="n"/>
      <c r="B223" s="21" t="n"/>
      <c r="C223" s="21" t="n"/>
      <c r="D223" s="22" t="n"/>
      <c r="E223" s="21" t="n"/>
      <c r="F223" s="23">
        <f>IFERROR(IF(OR(C223="",D223=""),"",D223*VLOOKUP(C223,'Setup - Mix Design'!$A$5:$I$304,2,0)),"")</f>
        <v/>
      </c>
      <c r="G223" s="23">
        <f>IFERROR(IF(OR(C223="",D223=""),"",D223*VLOOKUP(C223,'Setup - Mix Design'!$A$5:$I$304,3,0)),"")</f>
        <v/>
      </c>
      <c r="H223" s="23">
        <f>IFERROR(IF(OR(C223="",D223=""),"",D223*VLOOKUP(C223,'Setup - Mix Design'!$A$5:$I$304,4,0)),"")</f>
        <v/>
      </c>
      <c r="I223" s="23">
        <f>IFERROR(IF(OR(C223="",D223=""),"",D223*VLOOKUP(C223,'Setup - Mix Design'!$A$5:$I$304,5,0)),"")</f>
        <v/>
      </c>
      <c r="J223" s="23">
        <f>IFERROR(IF(OR(C223="",D223=""),"",D223*VLOOKUP(C223,'Setup - Mix Design'!$A$5:$I$304,6,0)),"")</f>
        <v/>
      </c>
      <c r="K223" s="23">
        <f>IFERROR(IF(OR(C223="",D223=""),"",D223*VLOOKUP(C223,'Setup - Mix Design'!$A$5:$I$304,7,0)),"")</f>
        <v/>
      </c>
    </row>
    <row r="224">
      <c r="A224" s="26" t="n"/>
      <c r="B224" s="21" t="n"/>
      <c r="C224" s="21" t="n"/>
      <c r="D224" s="22" t="n"/>
      <c r="E224" s="21" t="n"/>
      <c r="F224" s="23">
        <f>IFERROR(IF(OR(C224="",D224=""),"",D224*VLOOKUP(C224,'Setup - Mix Design'!$A$5:$I$304,2,0)),"")</f>
        <v/>
      </c>
      <c r="G224" s="23">
        <f>IFERROR(IF(OR(C224="",D224=""),"",D224*VLOOKUP(C224,'Setup - Mix Design'!$A$5:$I$304,3,0)),"")</f>
        <v/>
      </c>
      <c r="H224" s="23">
        <f>IFERROR(IF(OR(C224="",D224=""),"",D224*VLOOKUP(C224,'Setup - Mix Design'!$A$5:$I$304,4,0)),"")</f>
        <v/>
      </c>
      <c r="I224" s="23">
        <f>IFERROR(IF(OR(C224="",D224=""),"",D224*VLOOKUP(C224,'Setup - Mix Design'!$A$5:$I$304,5,0)),"")</f>
        <v/>
      </c>
      <c r="J224" s="23">
        <f>IFERROR(IF(OR(C224="",D224=""),"",D224*VLOOKUP(C224,'Setup - Mix Design'!$A$5:$I$304,6,0)),"")</f>
        <v/>
      </c>
      <c r="K224" s="23">
        <f>IFERROR(IF(OR(C224="",D224=""),"",D224*VLOOKUP(C224,'Setup - Mix Design'!$A$5:$I$304,7,0)),"")</f>
        <v/>
      </c>
    </row>
    <row r="225">
      <c r="A225" s="26" t="n"/>
      <c r="B225" s="21" t="n"/>
      <c r="C225" s="21" t="n"/>
      <c r="D225" s="22" t="n"/>
      <c r="E225" s="21" t="n"/>
      <c r="F225" s="23">
        <f>IFERROR(IF(OR(C225="",D225=""),"",D225*VLOOKUP(C225,'Setup - Mix Design'!$A$5:$I$304,2,0)),"")</f>
        <v/>
      </c>
      <c r="G225" s="23">
        <f>IFERROR(IF(OR(C225="",D225=""),"",D225*VLOOKUP(C225,'Setup - Mix Design'!$A$5:$I$304,3,0)),"")</f>
        <v/>
      </c>
      <c r="H225" s="23">
        <f>IFERROR(IF(OR(C225="",D225=""),"",D225*VLOOKUP(C225,'Setup - Mix Design'!$A$5:$I$304,4,0)),"")</f>
        <v/>
      </c>
      <c r="I225" s="23">
        <f>IFERROR(IF(OR(C225="",D225=""),"",D225*VLOOKUP(C225,'Setup - Mix Design'!$A$5:$I$304,5,0)),"")</f>
        <v/>
      </c>
      <c r="J225" s="23">
        <f>IFERROR(IF(OR(C225="",D225=""),"",D225*VLOOKUP(C225,'Setup - Mix Design'!$A$5:$I$304,6,0)),"")</f>
        <v/>
      </c>
      <c r="K225" s="23">
        <f>IFERROR(IF(OR(C225="",D225=""),"",D225*VLOOKUP(C225,'Setup - Mix Design'!$A$5:$I$304,7,0)),"")</f>
        <v/>
      </c>
    </row>
    <row r="226">
      <c r="A226" s="26" t="n"/>
      <c r="B226" s="21" t="n"/>
      <c r="C226" s="21" t="n"/>
      <c r="D226" s="22" t="n"/>
      <c r="E226" s="21" t="n"/>
      <c r="F226" s="23">
        <f>IFERROR(IF(OR(C226="",D226=""),"",D226*VLOOKUP(C226,'Setup - Mix Design'!$A$5:$I$304,2,0)),"")</f>
        <v/>
      </c>
      <c r="G226" s="23">
        <f>IFERROR(IF(OR(C226="",D226=""),"",D226*VLOOKUP(C226,'Setup - Mix Design'!$A$5:$I$304,3,0)),"")</f>
        <v/>
      </c>
      <c r="H226" s="23">
        <f>IFERROR(IF(OR(C226="",D226=""),"",D226*VLOOKUP(C226,'Setup - Mix Design'!$A$5:$I$304,4,0)),"")</f>
        <v/>
      </c>
      <c r="I226" s="23">
        <f>IFERROR(IF(OR(C226="",D226=""),"",D226*VLOOKUP(C226,'Setup - Mix Design'!$A$5:$I$304,5,0)),"")</f>
        <v/>
      </c>
      <c r="J226" s="23">
        <f>IFERROR(IF(OR(C226="",D226=""),"",D226*VLOOKUP(C226,'Setup - Mix Design'!$A$5:$I$304,6,0)),"")</f>
        <v/>
      </c>
      <c r="K226" s="23">
        <f>IFERROR(IF(OR(C226="",D226=""),"",D226*VLOOKUP(C226,'Setup - Mix Design'!$A$5:$I$304,7,0)),"")</f>
        <v/>
      </c>
    </row>
    <row r="227">
      <c r="A227" s="26" t="n"/>
      <c r="B227" s="21" t="n"/>
      <c r="C227" s="21" t="n"/>
      <c r="D227" s="22" t="n"/>
      <c r="E227" s="21" t="n"/>
      <c r="F227" s="23">
        <f>IFERROR(IF(OR(C227="",D227=""),"",D227*VLOOKUP(C227,'Setup - Mix Design'!$A$5:$I$304,2,0)),"")</f>
        <v/>
      </c>
      <c r="G227" s="23">
        <f>IFERROR(IF(OR(C227="",D227=""),"",D227*VLOOKUP(C227,'Setup - Mix Design'!$A$5:$I$304,3,0)),"")</f>
        <v/>
      </c>
      <c r="H227" s="23">
        <f>IFERROR(IF(OR(C227="",D227=""),"",D227*VLOOKUP(C227,'Setup - Mix Design'!$A$5:$I$304,4,0)),"")</f>
        <v/>
      </c>
      <c r="I227" s="23">
        <f>IFERROR(IF(OR(C227="",D227=""),"",D227*VLOOKUP(C227,'Setup - Mix Design'!$A$5:$I$304,5,0)),"")</f>
        <v/>
      </c>
      <c r="J227" s="23">
        <f>IFERROR(IF(OR(C227="",D227=""),"",D227*VLOOKUP(C227,'Setup - Mix Design'!$A$5:$I$304,6,0)),"")</f>
        <v/>
      </c>
      <c r="K227" s="23">
        <f>IFERROR(IF(OR(C227="",D227=""),"",D227*VLOOKUP(C227,'Setup - Mix Design'!$A$5:$I$304,7,0)),"")</f>
        <v/>
      </c>
    </row>
    <row r="228">
      <c r="A228" s="26" t="n"/>
      <c r="B228" s="21" t="n"/>
      <c r="C228" s="21" t="n"/>
      <c r="D228" s="22" t="n"/>
      <c r="E228" s="21" t="n"/>
      <c r="F228" s="23">
        <f>IFERROR(IF(OR(C228="",D228=""),"",D228*VLOOKUP(C228,'Setup - Mix Design'!$A$5:$I$304,2,0)),"")</f>
        <v/>
      </c>
      <c r="G228" s="23">
        <f>IFERROR(IF(OR(C228="",D228=""),"",D228*VLOOKUP(C228,'Setup - Mix Design'!$A$5:$I$304,3,0)),"")</f>
        <v/>
      </c>
      <c r="H228" s="23">
        <f>IFERROR(IF(OR(C228="",D228=""),"",D228*VLOOKUP(C228,'Setup - Mix Design'!$A$5:$I$304,4,0)),"")</f>
        <v/>
      </c>
      <c r="I228" s="23">
        <f>IFERROR(IF(OR(C228="",D228=""),"",D228*VLOOKUP(C228,'Setup - Mix Design'!$A$5:$I$304,5,0)),"")</f>
        <v/>
      </c>
      <c r="J228" s="23">
        <f>IFERROR(IF(OR(C228="",D228=""),"",D228*VLOOKUP(C228,'Setup - Mix Design'!$A$5:$I$304,6,0)),"")</f>
        <v/>
      </c>
      <c r="K228" s="23">
        <f>IFERROR(IF(OR(C228="",D228=""),"",D228*VLOOKUP(C228,'Setup - Mix Design'!$A$5:$I$304,7,0)),"")</f>
        <v/>
      </c>
    </row>
    <row r="229">
      <c r="A229" s="26" t="n"/>
      <c r="B229" s="21" t="n"/>
      <c r="C229" s="21" t="n"/>
      <c r="D229" s="22" t="n"/>
      <c r="E229" s="21" t="n"/>
      <c r="F229" s="23">
        <f>IFERROR(IF(OR(C229="",D229=""),"",D229*VLOOKUP(C229,'Setup - Mix Design'!$A$5:$I$304,2,0)),"")</f>
        <v/>
      </c>
      <c r="G229" s="23">
        <f>IFERROR(IF(OR(C229="",D229=""),"",D229*VLOOKUP(C229,'Setup - Mix Design'!$A$5:$I$304,3,0)),"")</f>
        <v/>
      </c>
      <c r="H229" s="23">
        <f>IFERROR(IF(OR(C229="",D229=""),"",D229*VLOOKUP(C229,'Setup - Mix Design'!$A$5:$I$304,4,0)),"")</f>
        <v/>
      </c>
      <c r="I229" s="23">
        <f>IFERROR(IF(OR(C229="",D229=""),"",D229*VLOOKUP(C229,'Setup - Mix Design'!$A$5:$I$304,5,0)),"")</f>
        <v/>
      </c>
      <c r="J229" s="23">
        <f>IFERROR(IF(OR(C229="",D229=""),"",D229*VLOOKUP(C229,'Setup - Mix Design'!$A$5:$I$304,6,0)),"")</f>
        <v/>
      </c>
      <c r="K229" s="23">
        <f>IFERROR(IF(OR(C229="",D229=""),"",D229*VLOOKUP(C229,'Setup - Mix Design'!$A$5:$I$304,7,0)),"")</f>
        <v/>
      </c>
    </row>
    <row r="230">
      <c r="A230" s="26" t="n"/>
      <c r="B230" s="21" t="n"/>
      <c r="C230" s="21" t="n"/>
      <c r="D230" s="22" t="n"/>
      <c r="E230" s="21" t="n"/>
      <c r="F230" s="23">
        <f>IFERROR(IF(OR(C230="",D230=""),"",D230*VLOOKUP(C230,'Setup - Mix Design'!$A$5:$I$304,2,0)),"")</f>
        <v/>
      </c>
      <c r="G230" s="23">
        <f>IFERROR(IF(OR(C230="",D230=""),"",D230*VLOOKUP(C230,'Setup - Mix Design'!$A$5:$I$304,3,0)),"")</f>
        <v/>
      </c>
      <c r="H230" s="23">
        <f>IFERROR(IF(OR(C230="",D230=""),"",D230*VLOOKUP(C230,'Setup - Mix Design'!$A$5:$I$304,4,0)),"")</f>
        <v/>
      </c>
      <c r="I230" s="23">
        <f>IFERROR(IF(OR(C230="",D230=""),"",D230*VLOOKUP(C230,'Setup - Mix Design'!$A$5:$I$304,5,0)),"")</f>
        <v/>
      </c>
      <c r="J230" s="23">
        <f>IFERROR(IF(OR(C230="",D230=""),"",D230*VLOOKUP(C230,'Setup - Mix Design'!$A$5:$I$304,6,0)),"")</f>
        <v/>
      </c>
      <c r="K230" s="23">
        <f>IFERROR(IF(OR(C230="",D230=""),"",D230*VLOOKUP(C230,'Setup - Mix Design'!$A$5:$I$304,7,0)),"")</f>
        <v/>
      </c>
    </row>
    <row r="231">
      <c r="A231" s="26" t="n"/>
      <c r="B231" s="21" t="n"/>
      <c r="C231" s="21" t="n"/>
      <c r="D231" s="22" t="n"/>
      <c r="E231" s="21" t="n"/>
      <c r="F231" s="23">
        <f>IFERROR(IF(OR(C231="",D231=""),"",D231*VLOOKUP(C231,'Setup - Mix Design'!$A$5:$I$304,2,0)),"")</f>
        <v/>
      </c>
      <c r="G231" s="23">
        <f>IFERROR(IF(OR(C231="",D231=""),"",D231*VLOOKUP(C231,'Setup - Mix Design'!$A$5:$I$304,3,0)),"")</f>
        <v/>
      </c>
      <c r="H231" s="23">
        <f>IFERROR(IF(OR(C231="",D231=""),"",D231*VLOOKUP(C231,'Setup - Mix Design'!$A$5:$I$304,4,0)),"")</f>
        <v/>
      </c>
      <c r="I231" s="23">
        <f>IFERROR(IF(OR(C231="",D231=""),"",D231*VLOOKUP(C231,'Setup - Mix Design'!$A$5:$I$304,5,0)),"")</f>
        <v/>
      </c>
      <c r="J231" s="23">
        <f>IFERROR(IF(OR(C231="",D231=""),"",D231*VLOOKUP(C231,'Setup - Mix Design'!$A$5:$I$304,6,0)),"")</f>
        <v/>
      </c>
      <c r="K231" s="23">
        <f>IFERROR(IF(OR(C231="",D231=""),"",D231*VLOOKUP(C231,'Setup - Mix Design'!$A$5:$I$304,7,0)),"")</f>
        <v/>
      </c>
    </row>
    <row r="232">
      <c r="A232" s="26" t="n"/>
      <c r="B232" s="21" t="n"/>
      <c r="C232" s="21" t="n"/>
      <c r="D232" s="22" t="n"/>
      <c r="E232" s="21" t="n"/>
      <c r="F232" s="23">
        <f>IFERROR(IF(OR(C232="",D232=""),"",D232*VLOOKUP(C232,'Setup - Mix Design'!$A$5:$I$304,2,0)),"")</f>
        <v/>
      </c>
      <c r="G232" s="23">
        <f>IFERROR(IF(OR(C232="",D232=""),"",D232*VLOOKUP(C232,'Setup - Mix Design'!$A$5:$I$304,3,0)),"")</f>
        <v/>
      </c>
      <c r="H232" s="23">
        <f>IFERROR(IF(OR(C232="",D232=""),"",D232*VLOOKUP(C232,'Setup - Mix Design'!$A$5:$I$304,4,0)),"")</f>
        <v/>
      </c>
      <c r="I232" s="23">
        <f>IFERROR(IF(OR(C232="",D232=""),"",D232*VLOOKUP(C232,'Setup - Mix Design'!$A$5:$I$304,5,0)),"")</f>
        <v/>
      </c>
      <c r="J232" s="23">
        <f>IFERROR(IF(OR(C232="",D232=""),"",D232*VLOOKUP(C232,'Setup - Mix Design'!$A$5:$I$304,6,0)),"")</f>
        <v/>
      </c>
      <c r="K232" s="23">
        <f>IFERROR(IF(OR(C232="",D232=""),"",D232*VLOOKUP(C232,'Setup - Mix Design'!$A$5:$I$304,7,0)),"")</f>
        <v/>
      </c>
    </row>
    <row r="233">
      <c r="A233" s="26" t="n"/>
      <c r="B233" s="21" t="n"/>
      <c r="C233" s="21" t="n"/>
      <c r="D233" s="22" t="n"/>
      <c r="E233" s="21" t="n"/>
      <c r="F233" s="23">
        <f>IFERROR(IF(OR(C233="",D233=""),"",D233*VLOOKUP(C233,'Setup - Mix Design'!$A$5:$I$304,2,0)),"")</f>
        <v/>
      </c>
      <c r="G233" s="23">
        <f>IFERROR(IF(OR(C233="",D233=""),"",D233*VLOOKUP(C233,'Setup - Mix Design'!$A$5:$I$304,3,0)),"")</f>
        <v/>
      </c>
      <c r="H233" s="23">
        <f>IFERROR(IF(OR(C233="",D233=""),"",D233*VLOOKUP(C233,'Setup - Mix Design'!$A$5:$I$304,4,0)),"")</f>
        <v/>
      </c>
      <c r="I233" s="23">
        <f>IFERROR(IF(OR(C233="",D233=""),"",D233*VLOOKUP(C233,'Setup - Mix Design'!$A$5:$I$304,5,0)),"")</f>
        <v/>
      </c>
      <c r="J233" s="23">
        <f>IFERROR(IF(OR(C233="",D233=""),"",D233*VLOOKUP(C233,'Setup - Mix Design'!$A$5:$I$304,6,0)),"")</f>
        <v/>
      </c>
      <c r="K233" s="23">
        <f>IFERROR(IF(OR(C233="",D233=""),"",D233*VLOOKUP(C233,'Setup - Mix Design'!$A$5:$I$304,7,0)),"")</f>
        <v/>
      </c>
    </row>
    <row r="234">
      <c r="A234" s="26" t="n"/>
      <c r="B234" s="21" t="n"/>
      <c r="C234" s="21" t="n"/>
      <c r="D234" s="22" t="n"/>
      <c r="E234" s="21" t="n"/>
      <c r="F234" s="23">
        <f>IFERROR(IF(OR(C234="",D234=""),"",D234*VLOOKUP(C234,'Setup - Mix Design'!$A$5:$I$304,2,0)),"")</f>
        <v/>
      </c>
      <c r="G234" s="23">
        <f>IFERROR(IF(OR(C234="",D234=""),"",D234*VLOOKUP(C234,'Setup - Mix Design'!$A$5:$I$304,3,0)),"")</f>
        <v/>
      </c>
      <c r="H234" s="23">
        <f>IFERROR(IF(OR(C234="",D234=""),"",D234*VLOOKUP(C234,'Setup - Mix Design'!$A$5:$I$304,4,0)),"")</f>
        <v/>
      </c>
      <c r="I234" s="23">
        <f>IFERROR(IF(OR(C234="",D234=""),"",D234*VLOOKUP(C234,'Setup - Mix Design'!$A$5:$I$304,5,0)),"")</f>
        <v/>
      </c>
      <c r="J234" s="23">
        <f>IFERROR(IF(OR(C234="",D234=""),"",D234*VLOOKUP(C234,'Setup - Mix Design'!$A$5:$I$304,6,0)),"")</f>
        <v/>
      </c>
      <c r="K234" s="23">
        <f>IFERROR(IF(OR(C234="",D234=""),"",D234*VLOOKUP(C234,'Setup - Mix Design'!$A$5:$I$304,7,0)),"")</f>
        <v/>
      </c>
    </row>
    <row r="235">
      <c r="A235" s="26" t="n"/>
      <c r="B235" s="21" t="n"/>
      <c r="C235" s="21" t="n"/>
      <c r="D235" s="22" t="n"/>
      <c r="E235" s="21" t="n"/>
      <c r="F235" s="23">
        <f>IFERROR(IF(OR(C235="",D235=""),"",D235*VLOOKUP(C235,'Setup - Mix Design'!$A$5:$I$304,2,0)),"")</f>
        <v/>
      </c>
      <c r="G235" s="23">
        <f>IFERROR(IF(OR(C235="",D235=""),"",D235*VLOOKUP(C235,'Setup - Mix Design'!$A$5:$I$304,3,0)),"")</f>
        <v/>
      </c>
      <c r="H235" s="23">
        <f>IFERROR(IF(OR(C235="",D235=""),"",D235*VLOOKUP(C235,'Setup - Mix Design'!$A$5:$I$304,4,0)),"")</f>
        <v/>
      </c>
      <c r="I235" s="23">
        <f>IFERROR(IF(OR(C235="",D235=""),"",D235*VLOOKUP(C235,'Setup - Mix Design'!$A$5:$I$304,5,0)),"")</f>
        <v/>
      </c>
      <c r="J235" s="23">
        <f>IFERROR(IF(OR(C235="",D235=""),"",D235*VLOOKUP(C235,'Setup - Mix Design'!$A$5:$I$304,6,0)),"")</f>
        <v/>
      </c>
      <c r="K235" s="23">
        <f>IFERROR(IF(OR(C235="",D235=""),"",D235*VLOOKUP(C235,'Setup - Mix Design'!$A$5:$I$304,7,0)),"")</f>
        <v/>
      </c>
    </row>
    <row r="236">
      <c r="A236" s="26" t="n"/>
      <c r="B236" s="21" t="n"/>
      <c r="C236" s="21" t="n"/>
      <c r="D236" s="22" t="n"/>
      <c r="E236" s="21" t="n"/>
      <c r="F236" s="23">
        <f>IFERROR(IF(OR(C236="",D236=""),"",D236*VLOOKUP(C236,'Setup - Mix Design'!$A$5:$I$304,2,0)),"")</f>
        <v/>
      </c>
      <c r="G236" s="23">
        <f>IFERROR(IF(OR(C236="",D236=""),"",D236*VLOOKUP(C236,'Setup - Mix Design'!$A$5:$I$304,3,0)),"")</f>
        <v/>
      </c>
      <c r="H236" s="23">
        <f>IFERROR(IF(OR(C236="",D236=""),"",D236*VLOOKUP(C236,'Setup - Mix Design'!$A$5:$I$304,4,0)),"")</f>
        <v/>
      </c>
      <c r="I236" s="23">
        <f>IFERROR(IF(OR(C236="",D236=""),"",D236*VLOOKUP(C236,'Setup - Mix Design'!$A$5:$I$304,5,0)),"")</f>
        <v/>
      </c>
      <c r="J236" s="23">
        <f>IFERROR(IF(OR(C236="",D236=""),"",D236*VLOOKUP(C236,'Setup - Mix Design'!$A$5:$I$304,6,0)),"")</f>
        <v/>
      </c>
      <c r="K236" s="23">
        <f>IFERROR(IF(OR(C236="",D236=""),"",D236*VLOOKUP(C236,'Setup - Mix Design'!$A$5:$I$304,7,0)),"")</f>
        <v/>
      </c>
    </row>
    <row r="237">
      <c r="A237" s="26" t="n"/>
      <c r="B237" s="21" t="n"/>
      <c r="C237" s="21" t="n"/>
      <c r="D237" s="22" t="n"/>
      <c r="E237" s="21" t="n"/>
      <c r="F237" s="23">
        <f>IFERROR(IF(OR(C237="",D237=""),"",D237*VLOOKUP(C237,'Setup - Mix Design'!$A$5:$I$304,2,0)),"")</f>
        <v/>
      </c>
      <c r="G237" s="23">
        <f>IFERROR(IF(OR(C237="",D237=""),"",D237*VLOOKUP(C237,'Setup - Mix Design'!$A$5:$I$304,3,0)),"")</f>
        <v/>
      </c>
      <c r="H237" s="23">
        <f>IFERROR(IF(OR(C237="",D237=""),"",D237*VLOOKUP(C237,'Setup - Mix Design'!$A$5:$I$304,4,0)),"")</f>
        <v/>
      </c>
      <c r="I237" s="23">
        <f>IFERROR(IF(OR(C237="",D237=""),"",D237*VLOOKUP(C237,'Setup - Mix Design'!$A$5:$I$304,5,0)),"")</f>
        <v/>
      </c>
      <c r="J237" s="23">
        <f>IFERROR(IF(OR(C237="",D237=""),"",D237*VLOOKUP(C237,'Setup - Mix Design'!$A$5:$I$304,6,0)),"")</f>
        <v/>
      </c>
      <c r="K237" s="23">
        <f>IFERROR(IF(OR(C237="",D237=""),"",D237*VLOOKUP(C237,'Setup - Mix Design'!$A$5:$I$304,7,0)),"")</f>
        <v/>
      </c>
    </row>
    <row r="238">
      <c r="A238" s="26" t="n"/>
      <c r="B238" s="21" t="n"/>
      <c r="C238" s="21" t="n"/>
      <c r="D238" s="22" t="n"/>
      <c r="E238" s="21" t="n"/>
      <c r="F238" s="23">
        <f>IFERROR(IF(OR(C238="",D238=""),"",D238*VLOOKUP(C238,'Setup - Mix Design'!$A$5:$I$304,2,0)),"")</f>
        <v/>
      </c>
      <c r="G238" s="23">
        <f>IFERROR(IF(OR(C238="",D238=""),"",D238*VLOOKUP(C238,'Setup - Mix Design'!$A$5:$I$304,3,0)),"")</f>
        <v/>
      </c>
      <c r="H238" s="23">
        <f>IFERROR(IF(OR(C238="",D238=""),"",D238*VLOOKUP(C238,'Setup - Mix Design'!$A$5:$I$304,4,0)),"")</f>
        <v/>
      </c>
      <c r="I238" s="23">
        <f>IFERROR(IF(OR(C238="",D238=""),"",D238*VLOOKUP(C238,'Setup - Mix Design'!$A$5:$I$304,5,0)),"")</f>
        <v/>
      </c>
      <c r="J238" s="23">
        <f>IFERROR(IF(OR(C238="",D238=""),"",D238*VLOOKUP(C238,'Setup - Mix Design'!$A$5:$I$304,6,0)),"")</f>
        <v/>
      </c>
      <c r="K238" s="23">
        <f>IFERROR(IF(OR(C238="",D238=""),"",D238*VLOOKUP(C238,'Setup - Mix Design'!$A$5:$I$304,7,0)),"")</f>
        <v/>
      </c>
    </row>
    <row r="239">
      <c r="A239" s="26" t="n"/>
      <c r="B239" s="21" t="n"/>
      <c r="C239" s="21" t="n"/>
      <c r="D239" s="22" t="n"/>
      <c r="E239" s="21" t="n"/>
      <c r="F239" s="23">
        <f>IFERROR(IF(OR(C239="",D239=""),"",D239*VLOOKUP(C239,'Setup - Mix Design'!$A$5:$I$304,2,0)),"")</f>
        <v/>
      </c>
      <c r="G239" s="23">
        <f>IFERROR(IF(OR(C239="",D239=""),"",D239*VLOOKUP(C239,'Setup - Mix Design'!$A$5:$I$304,3,0)),"")</f>
        <v/>
      </c>
      <c r="H239" s="23">
        <f>IFERROR(IF(OR(C239="",D239=""),"",D239*VLOOKUP(C239,'Setup - Mix Design'!$A$5:$I$304,4,0)),"")</f>
        <v/>
      </c>
      <c r="I239" s="23">
        <f>IFERROR(IF(OR(C239="",D239=""),"",D239*VLOOKUP(C239,'Setup - Mix Design'!$A$5:$I$304,5,0)),"")</f>
        <v/>
      </c>
      <c r="J239" s="23">
        <f>IFERROR(IF(OR(C239="",D239=""),"",D239*VLOOKUP(C239,'Setup - Mix Design'!$A$5:$I$304,6,0)),"")</f>
        <v/>
      </c>
      <c r="K239" s="23">
        <f>IFERROR(IF(OR(C239="",D239=""),"",D239*VLOOKUP(C239,'Setup - Mix Design'!$A$5:$I$304,7,0)),"")</f>
        <v/>
      </c>
    </row>
    <row r="240">
      <c r="A240" s="26" t="n"/>
      <c r="B240" s="21" t="n"/>
      <c r="C240" s="21" t="n"/>
      <c r="D240" s="22" t="n"/>
      <c r="E240" s="21" t="n"/>
      <c r="F240" s="23">
        <f>IFERROR(IF(OR(C240="",D240=""),"",D240*VLOOKUP(C240,'Setup - Mix Design'!$A$5:$I$304,2,0)),"")</f>
        <v/>
      </c>
      <c r="G240" s="23">
        <f>IFERROR(IF(OR(C240="",D240=""),"",D240*VLOOKUP(C240,'Setup - Mix Design'!$A$5:$I$304,3,0)),"")</f>
        <v/>
      </c>
      <c r="H240" s="23">
        <f>IFERROR(IF(OR(C240="",D240=""),"",D240*VLOOKUP(C240,'Setup - Mix Design'!$A$5:$I$304,4,0)),"")</f>
        <v/>
      </c>
      <c r="I240" s="23">
        <f>IFERROR(IF(OR(C240="",D240=""),"",D240*VLOOKUP(C240,'Setup - Mix Design'!$A$5:$I$304,5,0)),"")</f>
        <v/>
      </c>
      <c r="J240" s="23">
        <f>IFERROR(IF(OR(C240="",D240=""),"",D240*VLOOKUP(C240,'Setup - Mix Design'!$A$5:$I$304,6,0)),"")</f>
        <v/>
      </c>
      <c r="K240" s="23">
        <f>IFERROR(IF(OR(C240="",D240=""),"",D240*VLOOKUP(C240,'Setup - Mix Design'!$A$5:$I$304,7,0)),"")</f>
        <v/>
      </c>
    </row>
    <row r="241">
      <c r="A241" s="26" t="n"/>
      <c r="B241" s="21" t="n"/>
      <c r="C241" s="21" t="n"/>
      <c r="D241" s="22" t="n"/>
      <c r="E241" s="21" t="n"/>
      <c r="F241" s="23">
        <f>IFERROR(IF(OR(C241="",D241=""),"",D241*VLOOKUP(C241,'Setup - Mix Design'!$A$5:$I$304,2,0)),"")</f>
        <v/>
      </c>
      <c r="G241" s="23">
        <f>IFERROR(IF(OR(C241="",D241=""),"",D241*VLOOKUP(C241,'Setup - Mix Design'!$A$5:$I$304,3,0)),"")</f>
        <v/>
      </c>
      <c r="H241" s="23">
        <f>IFERROR(IF(OR(C241="",D241=""),"",D241*VLOOKUP(C241,'Setup - Mix Design'!$A$5:$I$304,4,0)),"")</f>
        <v/>
      </c>
      <c r="I241" s="23">
        <f>IFERROR(IF(OR(C241="",D241=""),"",D241*VLOOKUP(C241,'Setup - Mix Design'!$A$5:$I$304,5,0)),"")</f>
        <v/>
      </c>
      <c r="J241" s="23">
        <f>IFERROR(IF(OR(C241="",D241=""),"",D241*VLOOKUP(C241,'Setup - Mix Design'!$A$5:$I$304,6,0)),"")</f>
        <v/>
      </c>
      <c r="K241" s="23">
        <f>IFERROR(IF(OR(C241="",D241=""),"",D241*VLOOKUP(C241,'Setup - Mix Design'!$A$5:$I$304,7,0)),"")</f>
        <v/>
      </c>
    </row>
    <row r="242">
      <c r="A242" s="26" t="n"/>
      <c r="B242" s="21" t="n"/>
      <c r="C242" s="21" t="n"/>
      <c r="D242" s="22" t="n"/>
      <c r="E242" s="21" t="n"/>
      <c r="F242" s="23">
        <f>IFERROR(IF(OR(C242="",D242=""),"",D242*VLOOKUP(C242,'Setup - Mix Design'!$A$5:$I$304,2,0)),"")</f>
        <v/>
      </c>
      <c r="G242" s="23">
        <f>IFERROR(IF(OR(C242="",D242=""),"",D242*VLOOKUP(C242,'Setup - Mix Design'!$A$5:$I$304,3,0)),"")</f>
        <v/>
      </c>
      <c r="H242" s="23">
        <f>IFERROR(IF(OR(C242="",D242=""),"",D242*VLOOKUP(C242,'Setup - Mix Design'!$A$5:$I$304,4,0)),"")</f>
        <v/>
      </c>
      <c r="I242" s="23">
        <f>IFERROR(IF(OR(C242="",D242=""),"",D242*VLOOKUP(C242,'Setup - Mix Design'!$A$5:$I$304,5,0)),"")</f>
        <v/>
      </c>
      <c r="J242" s="23">
        <f>IFERROR(IF(OR(C242="",D242=""),"",D242*VLOOKUP(C242,'Setup - Mix Design'!$A$5:$I$304,6,0)),"")</f>
        <v/>
      </c>
      <c r="K242" s="23">
        <f>IFERROR(IF(OR(C242="",D242=""),"",D242*VLOOKUP(C242,'Setup - Mix Design'!$A$5:$I$304,7,0)),"")</f>
        <v/>
      </c>
    </row>
    <row r="243">
      <c r="A243" s="26" t="n"/>
      <c r="B243" s="21" t="n"/>
      <c r="C243" s="21" t="n"/>
      <c r="D243" s="22" t="n"/>
      <c r="E243" s="21" t="n"/>
      <c r="F243" s="23">
        <f>IFERROR(IF(OR(C243="",D243=""),"",D243*VLOOKUP(C243,'Setup - Mix Design'!$A$5:$I$304,2,0)),"")</f>
        <v/>
      </c>
      <c r="G243" s="23">
        <f>IFERROR(IF(OR(C243="",D243=""),"",D243*VLOOKUP(C243,'Setup - Mix Design'!$A$5:$I$304,3,0)),"")</f>
        <v/>
      </c>
      <c r="H243" s="23">
        <f>IFERROR(IF(OR(C243="",D243=""),"",D243*VLOOKUP(C243,'Setup - Mix Design'!$A$5:$I$304,4,0)),"")</f>
        <v/>
      </c>
      <c r="I243" s="23">
        <f>IFERROR(IF(OR(C243="",D243=""),"",D243*VLOOKUP(C243,'Setup - Mix Design'!$A$5:$I$304,5,0)),"")</f>
        <v/>
      </c>
      <c r="J243" s="23">
        <f>IFERROR(IF(OR(C243="",D243=""),"",D243*VLOOKUP(C243,'Setup - Mix Design'!$A$5:$I$304,6,0)),"")</f>
        <v/>
      </c>
      <c r="K243" s="23">
        <f>IFERROR(IF(OR(C243="",D243=""),"",D243*VLOOKUP(C243,'Setup - Mix Design'!$A$5:$I$304,7,0)),"")</f>
        <v/>
      </c>
    </row>
    <row r="244">
      <c r="A244" s="26" t="n"/>
      <c r="B244" s="21" t="n"/>
      <c r="C244" s="21" t="n"/>
      <c r="D244" s="22" t="n"/>
      <c r="E244" s="21" t="n"/>
      <c r="F244" s="23">
        <f>IFERROR(IF(OR(C244="",D244=""),"",D244*VLOOKUP(C244,'Setup - Mix Design'!$A$5:$I$304,2,0)),"")</f>
        <v/>
      </c>
      <c r="G244" s="23">
        <f>IFERROR(IF(OR(C244="",D244=""),"",D244*VLOOKUP(C244,'Setup - Mix Design'!$A$5:$I$304,3,0)),"")</f>
        <v/>
      </c>
      <c r="H244" s="23">
        <f>IFERROR(IF(OR(C244="",D244=""),"",D244*VLOOKUP(C244,'Setup - Mix Design'!$A$5:$I$304,4,0)),"")</f>
        <v/>
      </c>
      <c r="I244" s="23">
        <f>IFERROR(IF(OR(C244="",D244=""),"",D244*VLOOKUP(C244,'Setup - Mix Design'!$A$5:$I$304,5,0)),"")</f>
        <v/>
      </c>
      <c r="J244" s="23">
        <f>IFERROR(IF(OR(C244="",D244=""),"",D244*VLOOKUP(C244,'Setup - Mix Design'!$A$5:$I$304,6,0)),"")</f>
        <v/>
      </c>
      <c r="K244" s="23">
        <f>IFERROR(IF(OR(C244="",D244=""),"",D244*VLOOKUP(C244,'Setup - Mix Design'!$A$5:$I$304,7,0)),"")</f>
        <v/>
      </c>
    </row>
    <row r="245">
      <c r="A245" s="26" t="n"/>
      <c r="B245" s="21" t="n"/>
      <c r="C245" s="21" t="n"/>
      <c r="D245" s="22" t="n"/>
      <c r="E245" s="21" t="n"/>
      <c r="F245" s="23">
        <f>IFERROR(IF(OR(C245="",D245=""),"",D245*VLOOKUP(C245,'Setup - Mix Design'!$A$5:$I$304,2,0)),"")</f>
        <v/>
      </c>
      <c r="G245" s="23">
        <f>IFERROR(IF(OR(C245="",D245=""),"",D245*VLOOKUP(C245,'Setup - Mix Design'!$A$5:$I$304,3,0)),"")</f>
        <v/>
      </c>
      <c r="H245" s="23">
        <f>IFERROR(IF(OR(C245="",D245=""),"",D245*VLOOKUP(C245,'Setup - Mix Design'!$A$5:$I$304,4,0)),"")</f>
        <v/>
      </c>
      <c r="I245" s="23">
        <f>IFERROR(IF(OR(C245="",D245=""),"",D245*VLOOKUP(C245,'Setup - Mix Design'!$A$5:$I$304,5,0)),"")</f>
        <v/>
      </c>
      <c r="J245" s="23">
        <f>IFERROR(IF(OR(C245="",D245=""),"",D245*VLOOKUP(C245,'Setup - Mix Design'!$A$5:$I$304,6,0)),"")</f>
        <v/>
      </c>
      <c r="K245" s="23">
        <f>IFERROR(IF(OR(C245="",D245=""),"",D245*VLOOKUP(C245,'Setup - Mix Design'!$A$5:$I$304,7,0)),"")</f>
        <v/>
      </c>
    </row>
    <row r="246">
      <c r="A246" s="26" t="n"/>
      <c r="B246" s="21" t="n"/>
      <c r="C246" s="21" t="n"/>
      <c r="D246" s="22" t="n"/>
      <c r="E246" s="21" t="n"/>
      <c r="F246" s="23">
        <f>IFERROR(IF(OR(C246="",D246=""),"",D246*VLOOKUP(C246,'Setup - Mix Design'!$A$5:$I$304,2,0)),"")</f>
        <v/>
      </c>
      <c r="G246" s="23">
        <f>IFERROR(IF(OR(C246="",D246=""),"",D246*VLOOKUP(C246,'Setup - Mix Design'!$A$5:$I$304,3,0)),"")</f>
        <v/>
      </c>
      <c r="H246" s="23">
        <f>IFERROR(IF(OR(C246="",D246=""),"",D246*VLOOKUP(C246,'Setup - Mix Design'!$A$5:$I$304,4,0)),"")</f>
        <v/>
      </c>
      <c r="I246" s="23">
        <f>IFERROR(IF(OR(C246="",D246=""),"",D246*VLOOKUP(C246,'Setup - Mix Design'!$A$5:$I$304,5,0)),"")</f>
        <v/>
      </c>
      <c r="J246" s="23">
        <f>IFERROR(IF(OR(C246="",D246=""),"",D246*VLOOKUP(C246,'Setup - Mix Design'!$A$5:$I$304,6,0)),"")</f>
        <v/>
      </c>
      <c r="K246" s="23">
        <f>IFERROR(IF(OR(C246="",D246=""),"",D246*VLOOKUP(C246,'Setup - Mix Design'!$A$5:$I$304,7,0)),"")</f>
        <v/>
      </c>
    </row>
    <row r="247">
      <c r="A247" s="26" t="n"/>
      <c r="B247" s="21" t="n"/>
      <c r="C247" s="21" t="n"/>
      <c r="D247" s="22" t="n"/>
      <c r="E247" s="21" t="n"/>
      <c r="F247" s="23">
        <f>IFERROR(IF(OR(C247="",D247=""),"",D247*VLOOKUP(C247,'Setup - Mix Design'!$A$5:$I$304,2,0)),"")</f>
        <v/>
      </c>
      <c r="G247" s="23">
        <f>IFERROR(IF(OR(C247="",D247=""),"",D247*VLOOKUP(C247,'Setup - Mix Design'!$A$5:$I$304,3,0)),"")</f>
        <v/>
      </c>
      <c r="H247" s="23">
        <f>IFERROR(IF(OR(C247="",D247=""),"",D247*VLOOKUP(C247,'Setup - Mix Design'!$A$5:$I$304,4,0)),"")</f>
        <v/>
      </c>
      <c r="I247" s="23">
        <f>IFERROR(IF(OR(C247="",D247=""),"",D247*VLOOKUP(C247,'Setup - Mix Design'!$A$5:$I$304,5,0)),"")</f>
        <v/>
      </c>
      <c r="J247" s="23">
        <f>IFERROR(IF(OR(C247="",D247=""),"",D247*VLOOKUP(C247,'Setup - Mix Design'!$A$5:$I$304,6,0)),"")</f>
        <v/>
      </c>
      <c r="K247" s="23">
        <f>IFERROR(IF(OR(C247="",D247=""),"",D247*VLOOKUP(C247,'Setup - Mix Design'!$A$5:$I$304,7,0)),"")</f>
        <v/>
      </c>
    </row>
    <row r="248">
      <c r="A248" s="26" t="n"/>
      <c r="B248" s="21" t="n"/>
      <c r="C248" s="21" t="n"/>
      <c r="D248" s="22" t="n"/>
      <c r="E248" s="21" t="n"/>
      <c r="F248" s="23">
        <f>IFERROR(IF(OR(C248="",D248=""),"",D248*VLOOKUP(C248,'Setup - Mix Design'!$A$5:$I$304,2,0)),"")</f>
        <v/>
      </c>
      <c r="G248" s="23">
        <f>IFERROR(IF(OR(C248="",D248=""),"",D248*VLOOKUP(C248,'Setup - Mix Design'!$A$5:$I$304,3,0)),"")</f>
        <v/>
      </c>
      <c r="H248" s="23">
        <f>IFERROR(IF(OR(C248="",D248=""),"",D248*VLOOKUP(C248,'Setup - Mix Design'!$A$5:$I$304,4,0)),"")</f>
        <v/>
      </c>
      <c r="I248" s="23">
        <f>IFERROR(IF(OR(C248="",D248=""),"",D248*VLOOKUP(C248,'Setup - Mix Design'!$A$5:$I$304,5,0)),"")</f>
        <v/>
      </c>
      <c r="J248" s="23">
        <f>IFERROR(IF(OR(C248="",D248=""),"",D248*VLOOKUP(C248,'Setup - Mix Design'!$A$5:$I$304,6,0)),"")</f>
        <v/>
      </c>
      <c r="K248" s="23">
        <f>IFERROR(IF(OR(C248="",D248=""),"",D248*VLOOKUP(C248,'Setup - Mix Design'!$A$5:$I$304,7,0)),"")</f>
        <v/>
      </c>
    </row>
    <row r="249">
      <c r="A249" s="26" t="n"/>
      <c r="B249" s="21" t="n"/>
      <c r="C249" s="21" t="n"/>
      <c r="D249" s="22" t="n"/>
      <c r="E249" s="21" t="n"/>
      <c r="F249" s="23">
        <f>IFERROR(IF(OR(C249="",D249=""),"",D249*VLOOKUP(C249,'Setup - Mix Design'!$A$5:$I$304,2,0)),"")</f>
        <v/>
      </c>
      <c r="G249" s="23">
        <f>IFERROR(IF(OR(C249="",D249=""),"",D249*VLOOKUP(C249,'Setup - Mix Design'!$A$5:$I$304,3,0)),"")</f>
        <v/>
      </c>
      <c r="H249" s="23">
        <f>IFERROR(IF(OR(C249="",D249=""),"",D249*VLOOKUP(C249,'Setup - Mix Design'!$A$5:$I$304,4,0)),"")</f>
        <v/>
      </c>
      <c r="I249" s="23">
        <f>IFERROR(IF(OR(C249="",D249=""),"",D249*VLOOKUP(C249,'Setup - Mix Design'!$A$5:$I$304,5,0)),"")</f>
        <v/>
      </c>
      <c r="J249" s="23">
        <f>IFERROR(IF(OR(C249="",D249=""),"",D249*VLOOKUP(C249,'Setup - Mix Design'!$A$5:$I$304,6,0)),"")</f>
        <v/>
      </c>
      <c r="K249" s="23">
        <f>IFERROR(IF(OR(C249="",D249=""),"",D249*VLOOKUP(C249,'Setup - Mix Design'!$A$5:$I$304,7,0)),"")</f>
        <v/>
      </c>
    </row>
    <row r="250">
      <c r="A250" s="26" t="n"/>
      <c r="B250" s="21" t="n"/>
      <c r="C250" s="21" t="n"/>
      <c r="D250" s="22" t="n"/>
      <c r="E250" s="21" t="n"/>
      <c r="F250" s="23">
        <f>IFERROR(IF(OR(C250="",D250=""),"",D250*VLOOKUP(C250,'Setup - Mix Design'!$A$5:$I$304,2,0)),"")</f>
        <v/>
      </c>
      <c r="G250" s="23">
        <f>IFERROR(IF(OR(C250="",D250=""),"",D250*VLOOKUP(C250,'Setup - Mix Design'!$A$5:$I$304,3,0)),"")</f>
        <v/>
      </c>
      <c r="H250" s="23">
        <f>IFERROR(IF(OR(C250="",D250=""),"",D250*VLOOKUP(C250,'Setup - Mix Design'!$A$5:$I$304,4,0)),"")</f>
        <v/>
      </c>
      <c r="I250" s="23">
        <f>IFERROR(IF(OR(C250="",D250=""),"",D250*VLOOKUP(C250,'Setup - Mix Design'!$A$5:$I$304,5,0)),"")</f>
        <v/>
      </c>
      <c r="J250" s="23">
        <f>IFERROR(IF(OR(C250="",D250=""),"",D250*VLOOKUP(C250,'Setup - Mix Design'!$A$5:$I$304,6,0)),"")</f>
        <v/>
      </c>
      <c r="K250" s="23">
        <f>IFERROR(IF(OR(C250="",D250=""),"",D250*VLOOKUP(C250,'Setup - Mix Design'!$A$5:$I$304,7,0)),"")</f>
        <v/>
      </c>
    </row>
    <row r="251">
      <c r="A251" s="26" t="n"/>
      <c r="B251" s="21" t="n"/>
      <c r="C251" s="21" t="n"/>
      <c r="D251" s="22" t="n"/>
      <c r="E251" s="21" t="n"/>
      <c r="F251" s="23">
        <f>IFERROR(IF(OR(C251="",D251=""),"",D251*VLOOKUP(C251,'Setup - Mix Design'!$A$5:$I$304,2,0)),"")</f>
        <v/>
      </c>
      <c r="G251" s="23">
        <f>IFERROR(IF(OR(C251="",D251=""),"",D251*VLOOKUP(C251,'Setup - Mix Design'!$A$5:$I$304,3,0)),"")</f>
        <v/>
      </c>
      <c r="H251" s="23">
        <f>IFERROR(IF(OR(C251="",D251=""),"",D251*VLOOKUP(C251,'Setup - Mix Design'!$A$5:$I$304,4,0)),"")</f>
        <v/>
      </c>
      <c r="I251" s="23">
        <f>IFERROR(IF(OR(C251="",D251=""),"",D251*VLOOKUP(C251,'Setup - Mix Design'!$A$5:$I$304,5,0)),"")</f>
        <v/>
      </c>
      <c r="J251" s="23">
        <f>IFERROR(IF(OR(C251="",D251=""),"",D251*VLOOKUP(C251,'Setup - Mix Design'!$A$5:$I$304,6,0)),"")</f>
        <v/>
      </c>
      <c r="K251" s="23">
        <f>IFERROR(IF(OR(C251="",D251=""),"",D251*VLOOKUP(C251,'Setup - Mix Design'!$A$5:$I$304,7,0)),"")</f>
        <v/>
      </c>
    </row>
    <row r="252">
      <c r="A252" s="26" t="n"/>
      <c r="B252" s="21" t="n"/>
      <c r="C252" s="21" t="n"/>
      <c r="D252" s="22" t="n"/>
      <c r="E252" s="21" t="n"/>
      <c r="F252" s="23">
        <f>IFERROR(IF(OR(C252="",D252=""),"",D252*VLOOKUP(C252,'Setup - Mix Design'!$A$5:$I$304,2,0)),"")</f>
        <v/>
      </c>
      <c r="G252" s="23">
        <f>IFERROR(IF(OR(C252="",D252=""),"",D252*VLOOKUP(C252,'Setup - Mix Design'!$A$5:$I$304,3,0)),"")</f>
        <v/>
      </c>
      <c r="H252" s="23">
        <f>IFERROR(IF(OR(C252="",D252=""),"",D252*VLOOKUP(C252,'Setup - Mix Design'!$A$5:$I$304,4,0)),"")</f>
        <v/>
      </c>
      <c r="I252" s="23">
        <f>IFERROR(IF(OR(C252="",D252=""),"",D252*VLOOKUP(C252,'Setup - Mix Design'!$A$5:$I$304,5,0)),"")</f>
        <v/>
      </c>
      <c r="J252" s="23">
        <f>IFERROR(IF(OR(C252="",D252=""),"",D252*VLOOKUP(C252,'Setup - Mix Design'!$A$5:$I$304,6,0)),"")</f>
        <v/>
      </c>
      <c r="K252" s="23">
        <f>IFERROR(IF(OR(C252="",D252=""),"",D252*VLOOKUP(C252,'Setup - Mix Design'!$A$5:$I$304,7,0)),"")</f>
        <v/>
      </c>
    </row>
    <row r="253">
      <c r="A253" s="26" t="n"/>
      <c r="B253" s="21" t="n"/>
      <c r="C253" s="21" t="n"/>
      <c r="D253" s="22" t="n"/>
      <c r="E253" s="21" t="n"/>
      <c r="F253" s="23">
        <f>IFERROR(IF(OR(C253="",D253=""),"",D253*VLOOKUP(C253,'Setup - Mix Design'!$A$5:$I$304,2,0)),"")</f>
        <v/>
      </c>
      <c r="G253" s="23">
        <f>IFERROR(IF(OR(C253="",D253=""),"",D253*VLOOKUP(C253,'Setup - Mix Design'!$A$5:$I$304,3,0)),"")</f>
        <v/>
      </c>
      <c r="H253" s="23">
        <f>IFERROR(IF(OR(C253="",D253=""),"",D253*VLOOKUP(C253,'Setup - Mix Design'!$A$5:$I$304,4,0)),"")</f>
        <v/>
      </c>
      <c r="I253" s="23">
        <f>IFERROR(IF(OR(C253="",D253=""),"",D253*VLOOKUP(C253,'Setup - Mix Design'!$A$5:$I$304,5,0)),"")</f>
        <v/>
      </c>
      <c r="J253" s="23">
        <f>IFERROR(IF(OR(C253="",D253=""),"",D253*VLOOKUP(C253,'Setup - Mix Design'!$A$5:$I$304,6,0)),"")</f>
        <v/>
      </c>
      <c r="K253" s="23">
        <f>IFERROR(IF(OR(C253="",D253=""),"",D253*VLOOKUP(C253,'Setup - Mix Design'!$A$5:$I$304,7,0)),"")</f>
        <v/>
      </c>
    </row>
    <row r="254">
      <c r="A254" s="26" t="n"/>
      <c r="B254" s="21" t="n"/>
      <c r="C254" s="21" t="n"/>
      <c r="D254" s="22" t="n"/>
      <c r="E254" s="21" t="n"/>
      <c r="F254" s="23">
        <f>IFERROR(IF(OR(C254="",D254=""),"",D254*VLOOKUP(C254,'Setup - Mix Design'!$A$5:$I$304,2,0)),"")</f>
        <v/>
      </c>
      <c r="G254" s="23">
        <f>IFERROR(IF(OR(C254="",D254=""),"",D254*VLOOKUP(C254,'Setup - Mix Design'!$A$5:$I$304,3,0)),"")</f>
        <v/>
      </c>
      <c r="H254" s="23">
        <f>IFERROR(IF(OR(C254="",D254=""),"",D254*VLOOKUP(C254,'Setup - Mix Design'!$A$5:$I$304,4,0)),"")</f>
        <v/>
      </c>
      <c r="I254" s="23">
        <f>IFERROR(IF(OR(C254="",D254=""),"",D254*VLOOKUP(C254,'Setup - Mix Design'!$A$5:$I$304,5,0)),"")</f>
        <v/>
      </c>
      <c r="J254" s="23">
        <f>IFERROR(IF(OR(C254="",D254=""),"",D254*VLOOKUP(C254,'Setup - Mix Design'!$A$5:$I$304,6,0)),"")</f>
        <v/>
      </c>
      <c r="K254" s="23">
        <f>IFERROR(IF(OR(C254="",D254=""),"",D254*VLOOKUP(C254,'Setup - Mix Design'!$A$5:$I$304,7,0)),"")</f>
        <v/>
      </c>
    </row>
    <row r="255">
      <c r="A255" s="26" t="n"/>
      <c r="B255" s="21" t="n"/>
      <c r="C255" s="21" t="n"/>
      <c r="D255" s="22" t="n"/>
      <c r="E255" s="21" t="n"/>
      <c r="F255" s="23">
        <f>IFERROR(IF(OR(C255="",D255=""),"",D255*VLOOKUP(C255,'Setup - Mix Design'!$A$5:$I$304,2,0)),"")</f>
        <v/>
      </c>
      <c r="G255" s="23">
        <f>IFERROR(IF(OR(C255="",D255=""),"",D255*VLOOKUP(C255,'Setup - Mix Design'!$A$5:$I$304,3,0)),"")</f>
        <v/>
      </c>
      <c r="H255" s="23">
        <f>IFERROR(IF(OR(C255="",D255=""),"",D255*VLOOKUP(C255,'Setup - Mix Design'!$A$5:$I$304,4,0)),"")</f>
        <v/>
      </c>
      <c r="I255" s="23">
        <f>IFERROR(IF(OR(C255="",D255=""),"",D255*VLOOKUP(C255,'Setup - Mix Design'!$A$5:$I$304,5,0)),"")</f>
        <v/>
      </c>
      <c r="J255" s="23">
        <f>IFERROR(IF(OR(C255="",D255=""),"",D255*VLOOKUP(C255,'Setup - Mix Design'!$A$5:$I$304,6,0)),"")</f>
        <v/>
      </c>
      <c r="K255" s="23">
        <f>IFERROR(IF(OR(C255="",D255=""),"",D255*VLOOKUP(C255,'Setup - Mix Design'!$A$5:$I$304,7,0)),"")</f>
        <v/>
      </c>
    </row>
    <row r="256">
      <c r="A256" s="26" t="n"/>
      <c r="B256" s="21" t="n"/>
      <c r="C256" s="21" t="n"/>
      <c r="D256" s="22" t="n"/>
      <c r="E256" s="21" t="n"/>
      <c r="F256" s="23">
        <f>IFERROR(IF(OR(C256="",D256=""),"",D256*VLOOKUP(C256,'Setup - Mix Design'!$A$5:$I$304,2,0)),"")</f>
        <v/>
      </c>
      <c r="G256" s="23">
        <f>IFERROR(IF(OR(C256="",D256=""),"",D256*VLOOKUP(C256,'Setup - Mix Design'!$A$5:$I$304,3,0)),"")</f>
        <v/>
      </c>
      <c r="H256" s="23">
        <f>IFERROR(IF(OR(C256="",D256=""),"",D256*VLOOKUP(C256,'Setup - Mix Design'!$A$5:$I$304,4,0)),"")</f>
        <v/>
      </c>
      <c r="I256" s="23">
        <f>IFERROR(IF(OR(C256="",D256=""),"",D256*VLOOKUP(C256,'Setup - Mix Design'!$A$5:$I$304,5,0)),"")</f>
        <v/>
      </c>
      <c r="J256" s="23">
        <f>IFERROR(IF(OR(C256="",D256=""),"",D256*VLOOKUP(C256,'Setup - Mix Design'!$A$5:$I$304,6,0)),"")</f>
        <v/>
      </c>
      <c r="K256" s="23">
        <f>IFERROR(IF(OR(C256="",D256=""),"",D256*VLOOKUP(C256,'Setup - Mix Design'!$A$5:$I$304,7,0)),"")</f>
        <v/>
      </c>
    </row>
    <row r="257">
      <c r="A257" s="26" t="n"/>
      <c r="B257" s="21" t="n"/>
      <c r="C257" s="21" t="n"/>
      <c r="D257" s="22" t="n"/>
      <c r="E257" s="21" t="n"/>
      <c r="F257" s="23">
        <f>IFERROR(IF(OR(C257="",D257=""),"",D257*VLOOKUP(C257,'Setup - Mix Design'!$A$5:$I$304,2,0)),"")</f>
        <v/>
      </c>
      <c r="G257" s="23">
        <f>IFERROR(IF(OR(C257="",D257=""),"",D257*VLOOKUP(C257,'Setup - Mix Design'!$A$5:$I$304,3,0)),"")</f>
        <v/>
      </c>
      <c r="H257" s="23">
        <f>IFERROR(IF(OR(C257="",D257=""),"",D257*VLOOKUP(C257,'Setup - Mix Design'!$A$5:$I$304,4,0)),"")</f>
        <v/>
      </c>
      <c r="I257" s="23">
        <f>IFERROR(IF(OR(C257="",D257=""),"",D257*VLOOKUP(C257,'Setup - Mix Design'!$A$5:$I$304,5,0)),"")</f>
        <v/>
      </c>
      <c r="J257" s="23">
        <f>IFERROR(IF(OR(C257="",D257=""),"",D257*VLOOKUP(C257,'Setup - Mix Design'!$A$5:$I$304,6,0)),"")</f>
        <v/>
      </c>
      <c r="K257" s="23">
        <f>IFERROR(IF(OR(C257="",D257=""),"",D257*VLOOKUP(C257,'Setup - Mix Design'!$A$5:$I$304,7,0)),"")</f>
        <v/>
      </c>
    </row>
    <row r="258">
      <c r="A258" s="26" t="n"/>
      <c r="B258" s="21" t="n"/>
      <c r="C258" s="21" t="n"/>
      <c r="D258" s="22" t="n"/>
      <c r="E258" s="21" t="n"/>
      <c r="F258" s="23">
        <f>IFERROR(IF(OR(C258="",D258=""),"",D258*VLOOKUP(C258,'Setup - Mix Design'!$A$5:$I$304,2,0)),"")</f>
        <v/>
      </c>
      <c r="G258" s="23">
        <f>IFERROR(IF(OR(C258="",D258=""),"",D258*VLOOKUP(C258,'Setup - Mix Design'!$A$5:$I$304,3,0)),"")</f>
        <v/>
      </c>
      <c r="H258" s="23">
        <f>IFERROR(IF(OR(C258="",D258=""),"",D258*VLOOKUP(C258,'Setup - Mix Design'!$A$5:$I$304,4,0)),"")</f>
        <v/>
      </c>
      <c r="I258" s="23">
        <f>IFERROR(IF(OR(C258="",D258=""),"",D258*VLOOKUP(C258,'Setup - Mix Design'!$A$5:$I$304,5,0)),"")</f>
        <v/>
      </c>
      <c r="J258" s="23">
        <f>IFERROR(IF(OR(C258="",D258=""),"",D258*VLOOKUP(C258,'Setup - Mix Design'!$A$5:$I$304,6,0)),"")</f>
        <v/>
      </c>
      <c r="K258" s="23">
        <f>IFERROR(IF(OR(C258="",D258=""),"",D258*VLOOKUP(C258,'Setup - Mix Design'!$A$5:$I$304,7,0)),"")</f>
        <v/>
      </c>
    </row>
    <row r="259">
      <c r="A259" s="26" t="n"/>
      <c r="B259" s="21" t="n"/>
      <c r="C259" s="21" t="n"/>
      <c r="D259" s="22" t="n"/>
      <c r="E259" s="21" t="n"/>
      <c r="F259" s="23">
        <f>IFERROR(IF(OR(C259="",D259=""),"",D259*VLOOKUP(C259,'Setup - Mix Design'!$A$5:$I$304,2,0)),"")</f>
        <v/>
      </c>
      <c r="G259" s="23">
        <f>IFERROR(IF(OR(C259="",D259=""),"",D259*VLOOKUP(C259,'Setup - Mix Design'!$A$5:$I$304,3,0)),"")</f>
        <v/>
      </c>
      <c r="H259" s="23">
        <f>IFERROR(IF(OR(C259="",D259=""),"",D259*VLOOKUP(C259,'Setup - Mix Design'!$A$5:$I$304,4,0)),"")</f>
        <v/>
      </c>
      <c r="I259" s="23">
        <f>IFERROR(IF(OR(C259="",D259=""),"",D259*VLOOKUP(C259,'Setup - Mix Design'!$A$5:$I$304,5,0)),"")</f>
        <v/>
      </c>
      <c r="J259" s="23">
        <f>IFERROR(IF(OR(C259="",D259=""),"",D259*VLOOKUP(C259,'Setup - Mix Design'!$A$5:$I$304,6,0)),"")</f>
        <v/>
      </c>
      <c r="K259" s="23">
        <f>IFERROR(IF(OR(C259="",D259=""),"",D259*VLOOKUP(C259,'Setup - Mix Design'!$A$5:$I$304,7,0)),"")</f>
        <v/>
      </c>
    </row>
    <row r="260">
      <c r="A260" s="26" t="n"/>
      <c r="B260" s="21" t="n"/>
      <c r="C260" s="21" t="n"/>
      <c r="D260" s="22" t="n"/>
      <c r="E260" s="21" t="n"/>
      <c r="F260" s="23">
        <f>IFERROR(IF(OR(C260="",D260=""),"",D260*VLOOKUP(C260,'Setup - Mix Design'!$A$5:$I$304,2,0)),"")</f>
        <v/>
      </c>
      <c r="G260" s="23">
        <f>IFERROR(IF(OR(C260="",D260=""),"",D260*VLOOKUP(C260,'Setup - Mix Design'!$A$5:$I$304,3,0)),"")</f>
        <v/>
      </c>
      <c r="H260" s="23">
        <f>IFERROR(IF(OR(C260="",D260=""),"",D260*VLOOKUP(C260,'Setup - Mix Design'!$A$5:$I$304,4,0)),"")</f>
        <v/>
      </c>
      <c r="I260" s="23">
        <f>IFERROR(IF(OR(C260="",D260=""),"",D260*VLOOKUP(C260,'Setup - Mix Design'!$A$5:$I$304,5,0)),"")</f>
        <v/>
      </c>
      <c r="J260" s="23">
        <f>IFERROR(IF(OR(C260="",D260=""),"",D260*VLOOKUP(C260,'Setup - Mix Design'!$A$5:$I$304,6,0)),"")</f>
        <v/>
      </c>
      <c r="K260" s="23">
        <f>IFERROR(IF(OR(C260="",D260=""),"",D260*VLOOKUP(C260,'Setup - Mix Design'!$A$5:$I$304,7,0)),"")</f>
        <v/>
      </c>
    </row>
    <row r="261">
      <c r="A261" s="26" t="n"/>
      <c r="B261" s="21" t="n"/>
      <c r="C261" s="21" t="n"/>
      <c r="D261" s="22" t="n"/>
      <c r="E261" s="21" t="n"/>
      <c r="F261" s="23">
        <f>IFERROR(IF(OR(C261="",D261=""),"",D261*VLOOKUP(C261,'Setup - Mix Design'!$A$5:$I$304,2,0)),"")</f>
        <v/>
      </c>
      <c r="G261" s="23">
        <f>IFERROR(IF(OR(C261="",D261=""),"",D261*VLOOKUP(C261,'Setup - Mix Design'!$A$5:$I$304,3,0)),"")</f>
        <v/>
      </c>
      <c r="H261" s="23">
        <f>IFERROR(IF(OR(C261="",D261=""),"",D261*VLOOKUP(C261,'Setup - Mix Design'!$A$5:$I$304,4,0)),"")</f>
        <v/>
      </c>
      <c r="I261" s="23">
        <f>IFERROR(IF(OR(C261="",D261=""),"",D261*VLOOKUP(C261,'Setup - Mix Design'!$A$5:$I$304,5,0)),"")</f>
        <v/>
      </c>
      <c r="J261" s="23">
        <f>IFERROR(IF(OR(C261="",D261=""),"",D261*VLOOKUP(C261,'Setup - Mix Design'!$A$5:$I$304,6,0)),"")</f>
        <v/>
      </c>
      <c r="K261" s="23">
        <f>IFERROR(IF(OR(C261="",D261=""),"",D261*VLOOKUP(C261,'Setup - Mix Design'!$A$5:$I$304,7,0)),"")</f>
        <v/>
      </c>
    </row>
    <row r="262">
      <c r="A262" s="26" t="n"/>
      <c r="B262" s="21" t="n"/>
      <c r="C262" s="21" t="n"/>
      <c r="D262" s="22" t="n"/>
      <c r="E262" s="21" t="n"/>
      <c r="F262" s="23">
        <f>IFERROR(IF(OR(C262="",D262=""),"",D262*VLOOKUP(C262,'Setup - Mix Design'!$A$5:$I$304,2,0)),"")</f>
        <v/>
      </c>
      <c r="G262" s="23">
        <f>IFERROR(IF(OR(C262="",D262=""),"",D262*VLOOKUP(C262,'Setup - Mix Design'!$A$5:$I$304,3,0)),"")</f>
        <v/>
      </c>
      <c r="H262" s="23">
        <f>IFERROR(IF(OR(C262="",D262=""),"",D262*VLOOKUP(C262,'Setup - Mix Design'!$A$5:$I$304,4,0)),"")</f>
        <v/>
      </c>
      <c r="I262" s="23">
        <f>IFERROR(IF(OR(C262="",D262=""),"",D262*VLOOKUP(C262,'Setup - Mix Design'!$A$5:$I$304,5,0)),"")</f>
        <v/>
      </c>
      <c r="J262" s="23">
        <f>IFERROR(IF(OR(C262="",D262=""),"",D262*VLOOKUP(C262,'Setup - Mix Design'!$A$5:$I$304,6,0)),"")</f>
        <v/>
      </c>
      <c r="K262" s="23">
        <f>IFERROR(IF(OR(C262="",D262=""),"",D262*VLOOKUP(C262,'Setup - Mix Design'!$A$5:$I$304,7,0)),"")</f>
        <v/>
      </c>
    </row>
    <row r="263">
      <c r="A263" s="26" t="n"/>
      <c r="B263" s="21" t="n"/>
      <c r="C263" s="21" t="n"/>
      <c r="D263" s="22" t="n"/>
      <c r="E263" s="21" t="n"/>
      <c r="F263" s="23">
        <f>IFERROR(IF(OR(C263="",D263=""),"",D263*VLOOKUP(C263,'Setup - Mix Design'!$A$5:$I$304,2,0)),"")</f>
        <v/>
      </c>
      <c r="G263" s="23">
        <f>IFERROR(IF(OR(C263="",D263=""),"",D263*VLOOKUP(C263,'Setup - Mix Design'!$A$5:$I$304,3,0)),"")</f>
        <v/>
      </c>
      <c r="H263" s="23">
        <f>IFERROR(IF(OR(C263="",D263=""),"",D263*VLOOKUP(C263,'Setup - Mix Design'!$A$5:$I$304,4,0)),"")</f>
        <v/>
      </c>
      <c r="I263" s="23">
        <f>IFERROR(IF(OR(C263="",D263=""),"",D263*VLOOKUP(C263,'Setup - Mix Design'!$A$5:$I$304,5,0)),"")</f>
        <v/>
      </c>
      <c r="J263" s="23">
        <f>IFERROR(IF(OR(C263="",D263=""),"",D263*VLOOKUP(C263,'Setup - Mix Design'!$A$5:$I$304,6,0)),"")</f>
        <v/>
      </c>
      <c r="K263" s="23">
        <f>IFERROR(IF(OR(C263="",D263=""),"",D263*VLOOKUP(C263,'Setup - Mix Design'!$A$5:$I$304,7,0)),"")</f>
        <v/>
      </c>
    </row>
    <row r="264">
      <c r="A264" s="26" t="n"/>
      <c r="B264" s="21" t="n"/>
      <c r="C264" s="21" t="n"/>
      <c r="D264" s="22" t="n"/>
      <c r="E264" s="21" t="n"/>
      <c r="F264" s="23">
        <f>IFERROR(IF(OR(C264="",D264=""),"",D264*VLOOKUP(C264,'Setup - Mix Design'!$A$5:$I$304,2,0)),"")</f>
        <v/>
      </c>
      <c r="G264" s="23">
        <f>IFERROR(IF(OR(C264="",D264=""),"",D264*VLOOKUP(C264,'Setup - Mix Design'!$A$5:$I$304,3,0)),"")</f>
        <v/>
      </c>
      <c r="H264" s="23">
        <f>IFERROR(IF(OR(C264="",D264=""),"",D264*VLOOKUP(C264,'Setup - Mix Design'!$A$5:$I$304,4,0)),"")</f>
        <v/>
      </c>
      <c r="I264" s="23">
        <f>IFERROR(IF(OR(C264="",D264=""),"",D264*VLOOKUP(C264,'Setup - Mix Design'!$A$5:$I$304,5,0)),"")</f>
        <v/>
      </c>
      <c r="J264" s="23">
        <f>IFERROR(IF(OR(C264="",D264=""),"",D264*VLOOKUP(C264,'Setup - Mix Design'!$A$5:$I$304,6,0)),"")</f>
        <v/>
      </c>
      <c r="K264" s="23">
        <f>IFERROR(IF(OR(C264="",D264=""),"",D264*VLOOKUP(C264,'Setup - Mix Design'!$A$5:$I$304,7,0)),"")</f>
        <v/>
      </c>
    </row>
    <row r="265">
      <c r="A265" s="26" t="n"/>
      <c r="B265" s="21" t="n"/>
      <c r="C265" s="21" t="n"/>
      <c r="D265" s="22" t="n"/>
      <c r="E265" s="21" t="n"/>
      <c r="F265" s="23">
        <f>IFERROR(IF(OR(C265="",D265=""),"",D265*VLOOKUP(C265,'Setup - Mix Design'!$A$5:$I$304,2,0)),"")</f>
        <v/>
      </c>
      <c r="G265" s="23">
        <f>IFERROR(IF(OR(C265="",D265=""),"",D265*VLOOKUP(C265,'Setup - Mix Design'!$A$5:$I$304,3,0)),"")</f>
        <v/>
      </c>
      <c r="H265" s="23">
        <f>IFERROR(IF(OR(C265="",D265=""),"",D265*VLOOKUP(C265,'Setup - Mix Design'!$A$5:$I$304,4,0)),"")</f>
        <v/>
      </c>
      <c r="I265" s="23">
        <f>IFERROR(IF(OR(C265="",D265=""),"",D265*VLOOKUP(C265,'Setup - Mix Design'!$A$5:$I$304,5,0)),"")</f>
        <v/>
      </c>
      <c r="J265" s="23">
        <f>IFERROR(IF(OR(C265="",D265=""),"",D265*VLOOKUP(C265,'Setup - Mix Design'!$A$5:$I$304,6,0)),"")</f>
        <v/>
      </c>
      <c r="K265" s="23">
        <f>IFERROR(IF(OR(C265="",D265=""),"",D265*VLOOKUP(C265,'Setup - Mix Design'!$A$5:$I$304,7,0)),"")</f>
        <v/>
      </c>
    </row>
    <row r="266">
      <c r="A266" s="26" t="n"/>
      <c r="B266" s="21" t="n"/>
      <c r="C266" s="21" t="n"/>
      <c r="D266" s="22" t="n"/>
      <c r="E266" s="21" t="n"/>
      <c r="F266" s="23">
        <f>IFERROR(IF(OR(C266="",D266=""),"",D266*VLOOKUP(C266,'Setup - Mix Design'!$A$5:$I$304,2,0)),"")</f>
        <v/>
      </c>
      <c r="G266" s="23">
        <f>IFERROR(IF(OR(C266="",D266=""),"",D266*VLOOKUP(C266,'Setup - Mix Design'!$A$5:$I$304,3,0)),"")</f>
        <v/>
      </c>
      <c r="H266" s="23">
        <f>IFERROR(IF(OR(C266="",D266=""),"",D266*VLOOKUP(C266,'Setup - Mix Design'!$A$5:$I$304,4,0)),"")</f>
        <v/>
      </c>
      <c r="I266" s="23">
        <f>IFERROR(IF(OR(C266="",D266=""),"",D266*VLOOKUP(C266,'Setup - Mix Design'!$A$5:$I$304,5,0)),"")</f>
        <v/>
      </c>
      <c r="J266" s="23">
        <f>IFERROR(IF(OR(C266="",D266=""),"",D266*VLOOKUP(C266,'Setup - Mix Design'!$A$5:$I$304,6,0)),"")</f>
        <v/>
      </c>
      <c r="K266" s="23">
        <f>IFERROR(IF(OR(C266="",D266=""),"",D266*VLOOKUP(C266,'Setup - Mix Design'!$A$5:$I$304,7,0)),"")</f>
        <v/>
      </c>
    </row>
    <row r="267">
      <c r="A267" s="26" t="n"/>
      <c r="B267" s="21" t="n"/>
      <c r="C267" s="21" t="n"/>
      <c r="D267" s="22" t="n"/>
      <c r="E267" s="21" t="n"/>
      <c r="F267" s="23">
        <f>IFERROR(IF(OR(C267="",D267=""),"",D267*VLOOKUP(C267,'Setup - Mix Design'!$A$5:$I$304,2,0)),"")</f>
        <v/>
      </c>
      <c r="G267" s="23">
        <f>IFERROR(IF(OR(C267="",D267=""),"",D267*VLOOKUP(C267,'Setup - Mix Design'!$A$5:$I$304,3,0)),"")</f>
        <v/>
      </c>
      <c r="H267" s="23">
        <f>IFERROR(IF(OR(C267="",D267=""),"",D267*VLOOKUP(C267,'Setup - Mix Design'!$A$5:$I$304,4,0)),"")</f>
        <v/>
      </c>
      <c r="I267" s="23">
        <f>IFERROR(IF(OR(C267="",D267=""),"",D267*VLOOKUP(C267,'Setup - Mix Design'!$A$5:$I$304,5,0)),"")</f>
        <v/>
      </c>
      <c r="J267" s="23">
        <f>IFERROR(IF(OR(C267="",D267=""),"",D267*VLOOKUP(C267,'Setup - Mix Design'!$A$5:$I$304,6,0)),"")</f>
        <v/>
      </c>
      <c r="K267" s="23">
        <f>IFERROR(IF(OR(C267="",D267=""),"",D267*VLOOKUP(C267,'Setup - Mix Design'!$A$5:$I$304,7,0)),"")</f>
        <v/>
      </c>
    </row>
    <row r="268">
      <c r="A268" s="26" t="n"/>
      <c r="B268" s="21" t="n"/>
      <c r="C268" s="21" t="n"/>
      <c r="D268" s="22" t="n"/>
      <c r="E268" s="21" t="n"/>
      <c r="F268" s="23">
        <f>IFERROR(IF(OR(C268="",D268=""),"",D268*VLOOKUP(C268,'Setup - Mix Design'!$A$5:$I$304,2,0)),"")</f>
        <v/>
      </c>
      <c r="G268" s="23">
        <f>IFERROR(IF(OR(C268="",D268=""),"",D268*VLOOKUP(C268,'Setup - Mix Design'!$A$5:$I$304,3,0)),"")</f>
        <v/>
      </c>
      <c r="H268" s="23">
        <f>IFERROR(IF(OR(C268="",D268=""),"",D268*VLOOKUP(C268,'Setup - Mix Design'!$A$5:$I$304,4,0)),"")</f>
        <v/>
      </c>
      <c r="I268" s="23">
        <f>IFERROR(IF(OR(C268="",D268=""),"",D268*VLOOKUP(C268,'Setup - Mix Design'!$A$5:$I$304,5,0)),"")</f>
        <v/>
      </c>
      <c r="J268" s="23">
        <f>IFERROR(IF(OR(C268="",D268=""),"",D268*VLOOKUP(C268,'Setup - Mix Design'!$A$5:$I$304,6,0)),"")</f>
        <v/>
      </c>
      <c r="K268" s="23">
        <f>IFERROR(IF(OR(C268="",D268=""),"",D268*VLOOKUP(C268,'Setup - Mix Design'!$A$5:$I$304,7,0)),"")</f>
        <v/>
      </c>
    </row>
    <row r="269">
      <c r="A269" s="26" t="n"/>
      <c r="B269" s="21" t="n"/>
      <c r="C269" s="21" t="n"/>
      <c r="D269" s="22" t="n"/>
      <c r="E269" s="21" t="n"/>
      <c r="F269" s="23">
        <f>IFERROR(IF(OR(C269="",D269=""),"",D269*VLOOKUP(C269,'Setup - Mix Design'!$A$5:$I$304,2,0)),"")</f>
        <v/>
      </c>
      <c r="G269" s="23">
        <f>IFERROR(IF(OR(C269="",D269=""),"",D269*VLOOKUP(C269,'Setup - Mix Design'!$A$5:$I$304,3,0)),"")</f>
        <v/>
      </c>
      <c r="H269" s="23">
        <f>IFERROR(IF(OR(C269="",D269=""),"",D269*VLOOKUP(C269,'Setup - Mix Design'!$A$5:$I$304,4,0)),"")</f>
        <v/>
      </c>
      <c r="I269" s="23">
        <f>IFERROR(IF(OR(C269="",D269=""),"",D269*VLOOKUP(C269,'Setup - Mix Design'!$A$5:$I$304,5,0)),"")</f>
        <v/>
      </c>
      <c r="J269" s="23">
        <f>IFERROR(IF(OR(C269="",D269=""),"",D269*VLOOKUP(C269,'Setup - Mix Design'!$A$5:$I$304,6,0)),"")</f>
        <v/>
      </c>
      <c r="K269" s="23">
        <f>IFERROR(IF(OR(C269="",D269=""),"",D269*VLOOKUP(C269,'Setup - Mix Design'!$A$5:$I$304,7,0)),"")</f>
        <v/>
      </c>
    </row>
    <row r="270">
      <c r="A270" s="26" t="n"/>
      <c r="B270" s="21" t="n"/>
      <c r="C270" s="21" t="n"/>
      <c r="D270" s="22" t="n"/>
      <c r="E270" s="21" t="n"/>
      <c r="F270" s="23">
        <f>IFERROR(IF(OR(C270="",D270=""),"",D270*VLOOKUP(C270,'Setup - Mix Design'!$A$5:$I$304,2,0)),"")</f>
        <v/>
      </c>
      <c r="G270" s="23">
        <f>IFERROR(IF(OR(C270="",D270=""),"",D270*VLOOKUP(C270,'Setup - Mix Design'!$A$5:$I$304,3,0)),"")</f>
        <v/>
      </c>
      <c r="H270" s="23">
        <f>IFERROR(IF(OR(C270="",D270=""),"",D270*VLOOKUP(C270,'Setup - Mix Design'!$A$5:$I$304,4,0)),"")</f>
        <v/>
      </c>
      <c r="I270" s="23">
        <f>IFERROR(IF(OR(C270="",D270=""),"",D270*VLOOKUP(C270,'Setup - Mix Design'!$A$5:$I$304,5,0)),"")</f>
        <v/>
      </c>
      <c r="J270" s="23">
        <f>IFERROR(IF(OR(C270="",D270=""),"",D270*VLOOKUP(C270,'Setup - Mix Design'!$A$5:$I$304,6,0)),"")</f>
        <v/>
      </c>
      <c r="K270" s="23">
        <f>IFERROR(IF(OR(C270="",D270=""),"",D270*VLOOKUP(C270,'Setup - Mix Design'!$A$5:$I$304,7,0)),"")</f>
        <v/>
      </c>
    </row>
    <row r="271">
      <c r="A271" s="26" t="n"/>
      <c r="B271" s="21" t="n"/>
      <c r="C271" s="21" t="n"/>
      <c r="D271" s="22" t="n"/>
      <c r="E271" s="21" t="n"/>
      <c r="F271" s="23">
        <f>IFERROR(IF(OR(C271="",D271=""),"",D271*VLOOKUP(C271,'Setup - Mix Design'!$A$5:$I$304,2,0)),"")</f>
        <v/>
      </c>
      <c r="G271" s="23">
        <f>IFERROR(IF(OR(C271="",D271=""),"",D271*VLOOKUP(C271,'Setup - Mix Design'!$A$5:$I$304,3,0)),"")</f>
        <v/>
      </c>
      <c r="H271" s="23">
        <f>IFERROR(IF(OR(C271="",D271=""),"",D271*VLOOKUP(C271,'Setup - Mix Design'!$A$5:$I$304,4,0)),"")</f>
        <v/>
      </c>
      <c r="I271" s="23">
        <f>IFERROR(IF(OR(C271="",D271=""),"",D271*VLOOKUP(C271,'Setup - Mix Design'!$A$5:$I$304,5,0)),"")</f>
        <v/>
      </c>
      <c r="J271" s="23">
        <f>IFERROR(IF(OR(C271="",D271=""),"",D271*VLOOKUP(C271,'Setup - Mix Design'!$A$5:$I$304,6,0)),"")</f>
        <v/>
      </c>
      <c r="K271" s="23">
        <f>IFERROR(IF(OR(C271="",D271=""),"",D271*VLOOKUP(C271,'Setup - Mix Design'!$A$5:$I$304,7,0)),"")</f>
        <v/>
      </c>
    </row>
    <row r="272">
      <c r="A272" s="26" t="n"/>
      <c r="B272" s="21" t="n"/>
      <c r="C272" s="21" t="n"/>
      <c r="D272" s="22" t="n"/>
      <c r="E272" s="21" t="n"/>
      <c r="F272" s="23">
        <f>IFERROR(IF(OR(C272="",D272=""),"",D272*VLOOKUP(C272,'Setup - Mix Design'!$A$5:$I$304,2,0)),"")</f>
        <v/>
      </c>
      <c r="G272" s="23">
        <f>IFERROR(IF(OR(C272="",D272=""),"",D272*VLOOKUP(C272,'Setup - Mix Design'!$A$5:$I$304,3,0)),"")</f>
        <v/>
      </c>
      <c r="H272" s="23">
        <f>IFERROR(IF(OR(C272="",D272=""),"",D272*VLOOKUP(C272,'Setup - Mix Design'!$A$5:$I$304,4,0)),"")</f>
        <v/>
      </c>
      <c r="I272" s="23">
        <f>IFERROR(IF(OR(C272="",D272=""),"",D272*VLOOKUP(C272,'Setup - Mix Design'!$A$5:$I$304,5,0)),"")</f>
        <v/>
      </c>
      <c r="J272" s="23">
        <f>IFERROR(IF(OR(C272="",D272=""),"",D272*VLOOKUP(C272,'Setup - Mix Design'!$A$5:$I$304,6,0)),"")</f>
        <v/>
      </c>
      <c r="K272" s="23">
        <f>IFERROR(IF(OR(C272="",D272=""),"",D272*VLOOKUP(C272,'Setup - Mix Design'!$A$5:$I$304,7,0)),"")</f>
        <v/>
      </c>
    </row>
    <row r="273">
      <c r="A273" s="26" t="n"/>
      <c r="B273" s="21" t="n"/>
      <c r="C273" s="21" t="n"/>
      <c r="D273" s="22" t="n"/>
      <c r="E273" s="21" t="n"/>
      <c r="F273" s="23">
        <f>IFERROR(IF(OR(C273="",D273=""),"",D273*VLOOKUP(C273,'Setup - Mix Design'!$A$5:$I$304,2,0)),"")</f>
        <v/>
      </c>
      <c r="G273" s="23">
        <f>IFERROR(IF(OR(C273="",D273=""),"",D273*VLOOKUP(C273,'Setup - Mix Design'!$A$5:$I$304,3,0)),"")</f>
        <v/>
      </c>
      <c r="H273" s="23">
        <f>IFERROR(IF(OR(C273="",D273=""),"",D273*VLOOKUP(C273,'Setup - Mix Design'!$A$5:$I$304,4,0)),"")</f>
        <v/>
      </c>
      <c r="I273" s="23">
        <f>IFERROR(IF(OR(C273="",D273=""),"",D273*VLOOKUP(C273,'Setup - Mix Design'!$A$5:$I$304,5,0)),"")</f>
        <v/>
      </c>
      <c r="J273" s="23">
        <f>IFERROR(IF(OR(C273="",D273=""),"",D273*VLOOKUP(C273,'Setup - Mix Design'!$A$5:$I$304,6,0)),"")</f>
        <v/>
      </c>
      <c r="K273" s="23">
        <f>IFERROR(IF(OR(C273="",D273=""),"",D273*VLOOKUP(C273,'Setup - Mix Design'!$A$5:$I$304,7,0)),"")</f>
        <v/>
      </c>
    </row>
    <row r="274">
      <c r="A274" s="26" t="n"/>
      <c r="B274" s="21" t="n"/>
      <c r="C274" s="21" t="n"/>
      <c r="D274" s="22" t="n"/>
      <c r="E274" s="21" t="n"/>
      <c r="F274" s="23">
        <f>IFERROR(IF(OR(C274="",D274=""),"",D274*VLOOKUP(C274,'Setup - Mix Design'!$A$5:$I$304,2,0)),"")</f>
        <v/>
      </c>
      <c r="G274" s="23">
        <f>IFERROR(IF(OR(C274="",D274=""),"",D274*VLOOKUP(C274,'Setup - Mix Design'!$A$5:$I$304,3,0)),"")</f>
        <v/>
      </c>
      <c r="H274" s="23">
        <f>IFERROR(IF(OR(C274="",D274=""),"",D274*VLOOKUP(C274,'Setup - Mix Design'!$A$5:$I$304,4,0)),"")</f>
        <v/>
      </c>
      <c r="I274" s="23">
        <f>IFERROR(IF(OR(C274="",D274=""),"",D274*VLOOKUP(C274,'Setup - Mix Design'!$A$5:$I$304,5,0)),"")</f>
        <v/>
      </c>
      <c r="J274" s="23">
        <f>IFERROR(IF(OR(C274="",D274=""),"",D274*VLOOKUP(C274,'Setup - Mix Design'!$A$5:$I$304,6,0)),"")</f>
        <v/>
      </c>
      <c r="K274" s="23">
        <f>IFERROR(IF(OR(C274="",D274=""),"",D274*VLOOKUP(C274,'Setup - Mix Design'!$A$5:$I$304,7,0)),"")</f>
        <v/>
      </c>
    </row>
    <row r="275">
      <c r="A275" s="26" t="n"/>
      <c r="B275" s="21" t="n"/>
      <c r="C275" s="21" t="n"/>
      <c r="D275" s="22" t="n"/>
      <c r="E275" s="21" t="n"/>
      <c r="F275" s="23">
        <f>IFERROR(IF(OR(C275="",D275=""),"",D275*VLOOKUP(C275,'Setup - Mix Design'!$A$5:$I$304,2,0)),"")</f>
        <v/>
      </c>
      <c r="G275" s="23">
        <f>IFERROR(IF(OR(C275="",D275=""),"",D275*VLOOKUP(C275,'Setup - Mix Design'!$A$5:$I$304,3,0)),"")</f>
        <v/>
      </c>
      <c r="H275" s="23">
        <f>IFERROR(IF(OR(C275="",D275=""),"",D275*VLOOKUP(C275,'Setup - Mix Design'!$A$5:$I$304,4,0)),"")</f>
        <v/>
      </c>
      <c r="I275" s="23">
        <f>IFERROR(IF(OR(C275="",D275=""),"",D275*VLOOKUP(C275,'Setup - Mix Design'!$A$5:$I$304,5,0)),"")</f>
        <v/>
      </c>
      <c r="J275" s="23">
        <f>IFERROR(IF(OR(C275="",D275=""),"",D275*VLOOKUP(C275,'Setup - Mix Design'!$A$5:$I$304,6,0)),"")</f>
        <v/>
      </c>
      <c r="K275" s="23">
        <f>IFERROR(IF(OR(C275="",D275=""),"",D275*VLOOKUP(C275,'Setup - Mix Design'!$A$5:$I$304,7,0)),"")</f>
        <v/>
      </c>
    </row>
    <row r="276">
      <c r="A276" s="26" t="n"/>
      <c r="B276" s="21" t="n"/>
      <c r="C276" s="21" t="n"/>
      <c r="D276" s="22" t="n"/>
      <c r="E276" s="21" t="n"/>
      <c r="F276" s="23">
        <f>IFERROR(IF(OR(C276="",D276=""),"",D276*VLOOKUP(C276,'Setup - Mix Design'!$A$5:$I$304,2,0)),"")</f>
        <v/>
      </c>
      <c r="G276" s="23">
        <f>IFERROR(IF(OR(C276="",D276=""),"",D276*VLOOKUP(C276,'Setup - Mix Design'!$A$5:$I$304,3,0)),"")</f>
        <v/>
      </c>
      <c r="H276" s="23">
        <f>IFERROR(IF(OR(C276="",D276=""),"",D276*VLOOKUP(C276,'Setup - Mix Design'!$A$5:$I$304,4,0)),"")</f>
        <v/>
      </c>
      <c r="I276" s="23">
        <f>IFERROR(IF(OR(C276="",D276=""),"",D276*VLOOKUP(C276,'Setup - Mix Design'!$A$5:$I$304,5,0)),"")</f>
        <v/>
      </c>
      <c r="J276" s="23">
        <f>IFERROR(IF(OR(C276="",D276=""),"",D276*VLOOKUP(C276,'Setup - Mix Design'!$A$5:$I$304,6,0)),"")</f>
        <v/>
      </c>
      <c r="K276" s="23">
        <f>IFERROR(IF(OR(C276="",D276=""),"",D276*VLOOKUP(C276,'Setup - Mix Design'!$A$5:$I$304,7,0)),"")</f>
        <v/>
      </c>
    </row>
    <row r="277">
      <c r="A277" s="26" t="n"/>
      <c r="B277" s="21" t="n"/>
      <c r="C277" s="21" t="n"/>
      <c r="D277" s="22" t="n"/>
      <c r="E277" s="21" t="n"/>
      <c r="F277" s="23">
        <f>IFERROR(IF(OR(C277="",D277=""),"",D277*VLOOKUP(C277,'Setup - Mix Design'!$A$5:$I$304,2,0)),"")</f>
        <v/>
      </c>
      <c r="G277" s="23">
        <f>IFERROR(IF(OR(C277="",D277=""),"",D277*VLOOKUP(C277,'Setup - Mix Design'!$A$5:$I$304,3,0)),"")</f>
        <v/>
      </c>
      <c r="H277" s="23">
        <f>IFERROR(IF(OR(C277="",D277=""),"",D277*VLOOKUP(C277,'Setup - Mix Design'!$A$5:$I$304,4,0)),"")</f>
        <v/>
      </c>
      <c r="I277" s="23">
        <f>IFERROR(IF(OR(C277="",D277=""),"",D277*VLOOKUP(C277,'Setup - Mix Design'!$A$5:$I$304,5,0)),"")</f>
        <v/>
      </c>
      <c r="J277" s="23">
        <f>IFERROR(IF(OR(C277="",D277=""),"",D277*VLOOKUP(C277,'Setup - Mix Design'!$A$5:$I$304,6,0)),"")</f>
        <v/>
      </c>
      <c r="K277" s="23">
        <f>IFERROR(IF(OR(C277="",D277=""),"",D277*VLOOKUP(C277,'Setup - Mix Design'!$A$5:$I$304,7,0)),"")</f>
        <v/>
      </c>
    </row>
    <row r="278">
      <c r="A278" s="26" t="n"/>
      <c r="B278" s="21" t="n"/>
      <c r="C278" s="21" t="n"/>
      <c r="D278" s="22" t="n"/>
      <c r="E278" s="21" t="n"/>
      <c r="F278" s="23">
        <f>IFERROR(IF(OR(C278="",D278=""),"",D278*VLOOKUP(C278,'Setup - Mix Design'!$A$5:$I$304,2,0)),"")</f>
        <v/>
      </c>
      <c r="G278" s="23">
        <f>IFERROR(IF(OR(C278="",D278=""),"",D278*VLOOKUP(C278,'Setup - Mix Design'!$A$5:$I$304,3,0)),"")</f>
        <v/>
      </c>
      <c r="H278" s="23">
        <f>IFERROR(IF(OR(C278="",D278=""),"",D278*VLOOKUP(C278,'Setup - Mix Design'!$A$5:$I$304,4,0)),"")</f>
        <v/>
      </c>
      <c r="I278" s="23">
        <f>IFERROR(IF(OR(C278="",D278=""),"",D278*VLOOKUP(C278,'Setup - Mix Design'!$A$5:$I$304,5,0)),"")</f>
        <v/>
      </c>
      <c r="J278" s="23">
        <f>IFERROR(IF(OR(C278="",D278=""),"",D278*VLOOKUP(C278,'Setup - Mix Design'!$A$5:$I$304,6,0)),"")</f>
        <v/>
      </c>
      <c r="K278" s="23">
        <f>IFERROR(IF(OR(C278="",D278=""),"",D278*VLOOKUP(C278,'Setup - Mix Design'!$A$5:$I$304,7,0)),"")</f>
        <v/>
      </c>
    </row>
    <row r="279">
      <c r="A279" s="26" t="n"/>
      <c r="B279" s="21" t="n"/>
      <c r="C279" s="21" t="n"/>
      <c r="D279" s="22" t="n"/>
      <c r="E279" s="21" t="n"/>
      <c r="F279" s="23">
        <f>IFERROR(IF(OR(C279="",D279=""),"",D279*VLOOKUP(C279,'Setup - Mix Design'!$A$5:$I$304,2,0)),"")</f>
        <v/>
      </c>
      <c r="G279" s="23">
        <f>IFERROR(IF(OR(C279="",D279=""),"",D279*VLOOKUP(C279,'Setup - Mix Design'!$A$5:$I$304,3,0)),"")</f>
        <v/>
      </c>
      <c r="H279" s="23">
        <f>IFERROR(IF(OR(C279="",D279=""),"",D279*VLOOKUP(C279,'Setup - Mix Design'!$A$5:$I$304,4,0)),"")</f>
        <v/>
      </c>
      <c r="I279" s="23">
        <f>IFERROR(IF(OR(C279="",D279=""),"",D279*VLOOKUP(C279,'Setup - Mix Design'!$A$5:$I$304,5,0)),"")</f>
        <v/>
      </c>
      <c r="J279" s="23">
        <f>IFERROR(IF(OR(C279="",D279=""),"",D279*VLOOKUP(C279,'Setup - Mix Design'!$A$5:$I$304,6,0)),"")</f>
        <v/>
      </c>
      <c r="K279" s="23">
        <f>IFERROR(IF(OR(C279="",D279=""),"",D279*VLOOKUP(C279,'Setup - Mix Design'!$A$5:$I$304,7,0)),"")</f>
        <v/>
      </c>
    </row>
    <row r="280">
      <c r="A280" s="26" t="n"/>
      <c r="B280" s="21" t="n"/>
      <c r="C280" s="21" t="n"/>
      <c r="D280" s="22" t="n"/>
      <c r="E280" s="21" t="n"/>
      <c r="F280" s="23">
        <f>IFERROR(IF(OR(C280="",D280=""),"",D280*VLOOKUP(C280,'Setup - Mix Design'!$A$5:$I$304,2,0)),"")</f>
        <v/>
      </c>
      <c r="G280" s="23">
        <f>IFERROR(IF(OR(C280="",D280=""),"",D280*VLOOKUP(C280,'Setup - Mix Design'!$A$5:$I$304,3,0)),"")</f>
        <v/>
      </c>
      <c r="H280" s="23">
        <f>IFERROR(IF(OR(C280="",D280=""),"",D280*VLOOKUP(C280,'Setup - Mix Design'!$A$5:$I$304,4,0)),"")</f>
        <v/>
      </c>
      <c r="I280" s="23">
        <f>IFERROR(IF(OR(C280="",D280=""),"",D280*VLOOKUP(C280,'Setup - Mix Design'!$A$5:$I$304,5,0)),"")</f>
        <v/>
      </c>
      <c r="J280" s="23">
        <f>IFERROR(IF(OR(C280="",D280=""),"",D280*VLOOKUP(C280,'Setup - Mix Design'!$A$5:$I$304,6,0)),"")</f>
        <v/>
      </c>
      <c r="K280" s="23">
        <f>IFERROR(IF(OR(C280="",D280=""),"",D280*VLOOKUP(C280,'Setup - Mix Design'!$A$5:$I$304,7,0)),"")</f>
        <v/>
      </c>
    </row>
    <row r="281">
      <c r="A281" s="26" t="n"/>
      <c r="B281" s="21" t="n"/>
      <c r="C281" s="21" t="n"/>
      <c r="D281" s="22" t="n"/>
      <c r="E281" s="21" t="n"/>
      <c r="F281" s="23">
        <f>IFERROR(IF(OR(C281="",D281=""),"",D281*VLOOKUP(C281,'Setup - Mix Design'!$A$5:$I$304,2,0)),"")</f>
        <v/>
      </c>
      <c r="G281" s="23">
        <f>IFERROR(IF(OR(C281="",D281=""),"",D281*VLOOKUP(C281,'Setup - Mix Design'!$A$5:$I$304,3,0)),"")</f>
        <v/>
      </c>
      <c r="H281" s="23">
        <f>IFERROR(IF(OR(C281="",D281=""),"",D281*VLOOKUP(C281,'Setup - Mix Design'!$A$5:$I$304,4,0)),"")</f>
        <v/>
      </c>
      <c r="I281" s="23">
        <f>IFERROR(IF(OR(C281="",D281=""),"",D281*VLOOKUP(C281,'Setup - Mix Design'!$A$5:$I$304,5,0)),"")</f>
        <v/>
      </c>
      <c r="J281" s="23">
        <f>IFERROR(IF(OR(C281="",D281=""),"",D281*VLOOKUP(C281,'Setup - Mix Design'!$A$5:$I$304,6,0)),"")</f>
        <v/>
      </c>
      <c r="K281" s="23">
        <f>IFERROR(IF(OR(C281="",D281=""),"",D281*VLOOKUP(C281,'Setup - Mix Design'!$A$5:$I$304,7,0)),"")</f>
        <v/>
      </c>
    </row>
    <row r="282">
      <c r="A282" s="26" t="n"/>
      <c r="B282" s="21" t="n"/>
      <c r="C282" s="21" t="n"/>
      <c r="D282" s="22" t="n"/>
      <c r="E282" s="21" t="n"/>
      <c r="F282" s="23">
        <f>IFERROR(IF(OR(C282="",D282=""),"",D282*VLOOKUP(C282,'Setup - Mix Design'!$A$5:$I$304,2,0)),"")</f>
        <v/>
      </c>
      <c r="G282" s="23">
        <f>IFERROR(IF(OR(C282="",D282=""),"",D282*VLOOKUP(C282,'Setup - Mix Design'!$A$5:$I$304,3,0)),"")</f>
        <v/>
      </c>
      <c r="H282" s="23">
        <f>IFERROR(IF(OR(C282="",D282=""),"",D282*VLOOKUP(C282,'Setup - Mix Design'!$A$5:$I$304,4,0)),"")</f>
        <v/>
      </c>
      <c r="I282" s="23">
        <f>IFERROR(IF(OR(C282="",D282=""),"",D282*VLOOKUP(C282,'Setup - Mix Design'!$A$5:$I$304,5,0)),"")</f>
        <v/>
      </c>
      <c r="J282" s="23">
        <f>IFERROR(IF(OR(C282="",D282=""),"",D282*VLOOKUP(C282,'Setup - Mix Design'!$A$5:$I$304,6,0)),"")</f>
        <v/>
      </c>
      <c r="K282" s="23">
        <f>IFERROR(IF(OR(C282="",D282=""),"",D282*VLOOKUP(C282,'Setup - Mix Design'!$A$5:$I$304,7,0)),"")</f>
        <v/>
      </c>
    </row>
    <row r="283">
      <c r="A283" s="26" t="n"/>
      <c r="B283" s="21" t="n"/>
      <c r="C283" s="21" t="n"/>
      <c r="D283" s="22" t="n"/>
      <c r="E283" s="21" t="n"/>
      <c r="F283" s="23">
        <f>IFERROR(IF(OR(C283="",D283=""),"",D283*VLOOKUP(C283,'Setup - Mix Design'!$A$5:$I$304,2,0)),"")</f>
        <v/>
      </c>
      <c r="G283" s="23">
        <f>IFERROR(IF(OR(C283="",D283=""),"",D283*VLOOKUP(C283,'Setup - Mix Design'!$A$5:$I$304,3,0)),"")</f>
        <v/>
      </c>
      <c r="H283" s="23">
        <f>IFERROR(IF(OR(C283="",D283=""),"",D283*VLOOKUP(C283,'Setup - Mix Design'!$A$5:$I$304,4,0)),"")</f>
        <v/>
      </c>
      <c r="I283" s="23">
        <f>IFERROR(IF(OR(C283="",D283=""),"",D283*VLOOKUP(C283,'Setup - Mix Design'!$A$5:$I$304,5,0)),"")</f>
        <v/>
      </c>
      <c r="J283" s="23">
        <f>IFERROR(IF(OR(C283="",D283=""),"",D283*VLOOKUP(C283,'Setup - Mix Design'!$A$5:$I$304,6,0)),"")</f>
        <v/>
      </c>
      <c r="K283" s="23">
        <f>IFERROR(IF(OR(C283="",D283=""),"",D283*VLOOKUP(C283,'Setup - Mix Design'!$A$5:$I$304,7,0)),"")</f>
        <v/>
      </c>
    </row>
    <row r="284">
      <c r="A284" s="26" t="n"/>
      <c r="B284" s="21" t="n"/>
      <c r="C284" s="21" t="n"/>
      <c r="D284" s="22" t="n"/>
      <c r="E284" s="21" t="n"/>
      <c r="F284" s="23">
        <f>IFERROR(IF(OR(C284="",D284=""),"",D284*VLOOKUP(C284,'Setup - Mix Design'!$A$5:$I$304,2,0)),"")</f>
        <v/>
      </c>
      <c r="G284" s="23">
        <f>IFERROR(IF(OR(C284="",D284=""),"",D284*VLOOKUP(C284,'Setup - Mix Design'!$A$5:$I$304,3,0)),"")</f>
        <v/>
      </c>
      <c r="H284" s="23">
        <f>IFERROR(IF(OR(C284="",D284=""),"",D284*VLOOKUP(C284,'Setup - Mix Design'!$A$5:$I$304,4,0)),"")</f>
        <v/>
      </c>
      <c r="I284" s="23">
        <f>IFERROR(IF(OR(C284="",D284=""),"",D284*VLOOKUP(C284,'Setup - Mix Design'!$A$5:$I$304,5,0)),"")</f>
        <v/>
      </c>
      <c r="J284" s="23">
        <f>IFERROR(IF(OR(C284="",D284=""),"",D284*VLOOKUP(C284,'Setup - Mix Design'!$A$5:$I$304,6,0)),"")</f>
        <v/>
      </c>
      <c r="K284" s="23">
        <f>IFERROR(IF(OR(C284="",D284=""),"",D284*VLOOKUP(C284,'Setup - Mix Design'!$A$5:$I$304,7,0)),"")</f>
        <v/>
      </c>
    </row>
    <row r="285">
      <c r="A285" s="26" t="n"/>
      <c r="B285" s="21" t="n"/>
      <c r="C285" s="21" t="n"/>
      <c r="D285" s="22" t="n"/>
      <c r="E285" s="21" t="n"/>
      <c r="F285" s="23">
        <f>IFERROR(IF(OR(C285="",D285=""),"",D285*VLOOKUP(C285,'Setup - Mix Design'!$A$5:$I$304,2,0)),"")</f>
        <v/>
      </c>
      <c r="G285" s="23">
        <f>IFERROR(IF(OR(C285="",D285=""),"",D285*VLOOKUP(C285,'Setup - Mix Design'!$A$5:$I$304,3,0)),"")</f>
        <v/>
      </c>
      <c r="H285" s="23">
        <f>IFERROR(IF(OR(C285="",D285=""),"",D285*VLOOKUP(C285,'Setup - Mix Design'!$A$5:$I$304,4,0)),"")</f>
        <v/>
      </c>
      <c r="I285" s="23">
        <f>IFERROR(IF(OR(C285="",D285=""),"",D285*VLOOKUP(C285,'Setup - Mix Design'!$A$5:$I$304,5,0)),"")</f>
        <v/>
      </c>
      <c r="J285" s="23">
        <f>IFERROR(IF(OR(C285="",D285=""),"",D285*VLOOKUP(C285,'Setup - Mix Design'!$A$5:$I$304,6,0)),"")</f>
        <v/>
      </c>
      <c r="K285" s="23">
        <f>IFERROR(IF(OR(C285="",D285=""),"",D285*VLOOKUP(C285,'Setup - Mix Design'!$A$5:$I$304,7,0)),"")</f>
        <v/>
      </c>
    </row>
    <row r="286">
      <c r="A286" s="26" t="n"/>
      <c r="B286" s="21" t="n"/>
      <c r="C286" s="21" t="n"/>
      <c r="D286" s="22" t="n"/>
      <c r="E286" s="21" t="n"/>
      <c r="F286" s="23">
        <f>IFERROR(IF(OR(C286="",D286=""),"",D286*VLOOKUP(C286,'Setup - Mix Design'!$A$5:$I$304,2,0)),"")</f>
        <v/>
      </c>
      <c r="G286" s="23">
        <f>IFERROR(IF(OR(C286="",D286=""),"",D286*VLOOKUP(C286,'Setup - Mix Design'!$A$5:$I$304,3,0)),"")</f>
        <v/>
      </c>
      <c r="H286" s="23">
        <f>IFERROR(IF(OR(C286="",D286=""),"",D286*VLOOKUP(C286,'Setup - Mix Design'!$A$5:$I$304,4,0)),"")</f>
        <v/>
      </c>
      <c r="I286" s="23">
        <f>IFERROR(IF(OR(C286="",D286=""),"",D286*VLOOKUP(C286,'Setup - Mix Design'!$A$5:$I$304,5,0)),"")</f>
        <v/>
      </c>
      <c r="J286" s="23">
        <f>IFERROR(IF(OR(C286="",D286=""),"",D286*VLOOKUP(C286,'Setup - Mix Design'!$A$5:$I$304,6,0)),"")</f>
        <v/>
      </c>
      <c r="K286" s="23">
        <f>IFERROR(IF(OR(C286="",D286=""),"",D286*VLOOKUP(C286,'Setup - Mix Design'!$A$5:$I$304,7,0)),"")</f>
        <v/>
      </c>
    </row>
    <row r="287">
      <c r="A287" s="26" t="n"/>
      <c r="B287" s="21" t="n"/>
      <c r="C287" s="21" t="n"/>
      <c r="D287" s="22" t="n"/>
      <c r="E287" s="21" t="n"/>
      <c r="F287" s="23">
        <f>IFERROR(IF(OR(C287="",D287=""),"",D287*VLOOKUP(C287,'Setup - Mix Design'!$A$5:$I$304,2,0)),"")</f>
        <v/>
      </c>
      <c r="G287" s="23">
        <f>IFERROR(IF(OR(C287="",D287=""),"",D287*VLOOKUP(C287,'Setup - Mix Design'!$A$5:$I$304,3,0)),"")</f>
        <v/>
      </c>
      <c r="H287" s="23">
        <f>IFERROR(IF(OR(C287="",D287=""),"",D287*VLOOKUP(C287,'Setup - Mix Design'!$A$5:$I$304,4,0)),"")</f>
        <v/>
      </c>
      <c r="I287" s="23">
        <f>IFERROR(IF(OR(C287="",D287=""),"",D287*VLOOKUP(C287,'Setup - Mix Design'!$A$5:$I$304,5,0)),"")</f>
        <v/>
      </c>
      <c r="J287" s="23">
        <f>IFERROR(IF(OR(C287="",D287=""),"",D287*VLOOKUP(C287,'Setup - Mix Design'!$A$5:$I$304,6,0)),"")</f>
        <v/>
      </c>
      <c r="K287" s="23">
        <f>IFERROR(IF(OR(C287="",D287=""),"",D287*VLOOKUP(C287,'Setup - Mix Design'!$A$5:$I$304,7,0)),"")</f>
        <v/>
      </c>
    </row>
    <row r="288">
      <c r="A288" s="26" t="n"/>
      <c r="B288" s="21" t="n"/>
      <c r="C288" s="21" t="n"/>
      <c r="D288" s="22" t="n"/>
      <c r="E288" s="21" t="n"/>
      <c r="F288" s="23">
        <f>IFERROR(IF(OR(C288="",D288=""),"",D288*VLOOKUP(C288,'Setup - Mix Design'!$A$5:$I$304,2,0)),"")</f>
        <v/>
      </c>
      <c r="G288" s="23">
        <f>IFERROR(IF(OR(C288="",D288=""),"",D288*VLOOKUP(C288,'Setup - Mix Design'!$A$5:$I$304,3,0)),"")</f>
        <v/>
      </c>
      <c r="H288" s="23">
        <f>IFERROR(IF(OR(C288="",D288=""),"",D288*VLOOKUP(C288,'Setup - Mix Design'!$A$5:$I$304,4,0)),"")</f>
        <v/>
      </c>
      <c r="I288" s="23">
        <f>IFERROR(IF(OR(C288="",D288=""),"",D288*VLOOKUP(C288,'Setup - Mix Design'!$A$5:$I$304,5,0)),"")</f>
        <v/>
      </c>
      <c r="J288" s="23">
        <f>IFERROR(IF(OR(C288="",D288=""),"",D288*VLOOKUP(C288,'Setup - Mix Design'!$A$5:$I$304,6,0)),"")</f>
        <v/>
      </c>
      <c r="K288" s="23">
        <f>IFERROR(IF(OR(C288="",D288=""),"",D288*VLOOKUP(C288,'Setup - Mix Design'!$A$5:$I$304,7,0)),"")</f>
        <v/>
      </c>
    </row>
    <row r="289">
      <c r="A289" s="26" t="n"/>
      <c r="B289" s="21" t="n"/>
      <c r="C289" s="21" t="n"/>
      <c r="D289" s="22" t="n"/>
      <c r="E289" s="21" t="n"/>
      <c r="F289" s="23">
        <f>IFERROR(IF(OR(C289="",D289=""),"",D289*VLOOKUP(C289,'Setup - Mix Design'!$A$5:$I$304,2,0)),"")</f>
        <v/>
      </c>
      <c r="G289" s="23">
        <f>IFERROR(IF(OR(C289="",D289=""),"",D289*VLOOKUP(C289,'Setup - Mix Design'!$A$5:$I$304,3,0)),"")</f>
        <v/>
      </c>
      <c r="H289" s="23">
        <f>IFERROR(IF(OR(C289="",D289=""),"",D289*VLOOKUP(C289,'Setup - Mix Design'!$A$5:$I$304,4,0)),"")</f>
        <v/>
      </c>
      <c r="I289" s="23">
        <f>IFERROR(IF(OR(C289="",D289=""),"",D289*VLOOKUP(C289,'Setup - Mix Design'!$A$5:$I$304,5,0)),"")</f>
        <v/>
      </c>
      <c r="J289" s="23">
        <f>IFERROR(IF(OR(C289="",D289=""),"",D289*VLOOKUP(C289,'Setup - Mix Design'!$A$5:$I$304,6,0)),"")</f>
        <v/>
      </c>
      <c r="K289" s="23">
        <f>IFERROR(IF(OR(C289="",D289=""),"",D289*VLOOKUP(C289,'Setup - Mix Design'!$A$5:$I$304,7,0)),"")</f>
        <v/>
      </c>
    </row>
    <row r="290">
      <c r="A290" s="26" t="n"/>
      <c r="B290" s="21" t="n"/>
      <c r="C290" s="21" t="n"/>
      <c r="D290" s="22" t="n"/>
      <c r="E290" s="21" t="n"/>
      <c r="F290" s="23">
        <f>IFERROR(IF(OR(C290="",D290=""),"",D290*VLOOKUP(C290,'Setup - Mix Design'!$A$5:$I$304,2,0)),"")</f>
        <v/>
      </c>
      <c r="G290" s="23">
        <f>IFERROR(IF(OR(C290="",D290=""),"",D290*VLOOKUP(C290,'Setup - Mix Design'!$A$5:$I$304,3,0)),"")</f>
        <v/>
      </c>
      <c r="H290" s="23">
        <f>IFERROR(IF(OR(C290="",D290=""),"",D290*VLOOKUP(C290,'Setup - Mix Design'!$A$5:$I$304,4,0)),"")</f>
        <v/>
      </c>
      <c r="I290" s="23">
        <f>IFERROR(IF(OR(C290="",D290=""),"",D290*VLOOKUP(C290,'Setup - Mix Design'!$A$5:$I$304,5,0)),"")</f>
        <v/>
      </c>
      <c r="J290" s="23">
        <f>IFERROR(IF(OR(C290="",D290=""),"",D290*VLOOKUP(C290,'Setup - Mix Design'!$A$5:$I$304,6,0)),"")</f>
        <v/>
      </c>
      <c r="K290" s="23">
        <f>IFERROR(IF(OR(C290="",D290=""),"",D290*VLOOKUP(C290,'Setup - Mix Design'!$A$5:$I$304,7,0)),"")</f>
        <v/>
      </c>
    </row>
    <row r="291">
      <c r="A291" s="26" t="n"/>
      <c r="B291" s="21" t="n"/>
      <c r="C291" s="21" t="n"/>
      <c r="D291" s="22" t="n"/>
      <c r="E291" s="21" t="n"/>
      <c r="F291" s="23">
        <f>IFERROR(IF(OR(C291="",D291=""),"",D291*VLOOKUP(C291,'Setup - Mix Design'!$A$5:$I$304,2,0)),"")</f>
        <v/>
      </c>
      <c r="G291" s="23">
        <f>IFERROR(IF(OR(C291="",D291=""),"",D291*VLOOKUP(C291,'Setup - Mix Design'!$A$5:$I$304,3,0)),"")</f>
        <v/>
      </c>
      <c r="H291" s="23">
        <f>IFERROR(IF(OR(C291="",D291=""),"",D291*VLOOKUP(C291,'Setup - Mix Design'!$A$5:$I$304,4,0)),"")</f>
        <v/>
      </c>
      <c r="I291" s="23">
        <f>IFERROR(IF(OR(C291="",D291=""),"",D291*VLOOKUP(C291,'Setup - Mix Design'!$A$5:$I$304,5,0)),"")</f>
        <v/>
      </c>
      <c r="J291" s="23">
        <f>IFERROR(IF(OR(C291="",D291=""),"",D291*VLOOKUP(C291,'Setup - Mix Design'!$A$5:$I$304,6,0)),"")</f>
        <v/>
      </c>
      <c r="K291" s="23">
        <f>IFERROR(IF(OR(C291="",D291=""),"",D291*VLOOKUP(C291,'Setup - Mix Design'!$A$5:$I$304,7,0)),"")</f>
        <v/>
      </c>
    </row>
    <row r="292">
      <c r="A292" s="26" t="n"/>
      <c r="B292" s="21" t="n"/>
      <c r="C292" s="21" t="n"/>
      <c r="D292" s="22" t="n"/>
      <c r="E292" s="21" t="n"/>
      <c r="F292" s="23">
        <f>IFERROR(IF(OR(C292="",D292=""),"",D292*VLOOKUP(C292,'Setup - Mix Design'!$A$5:$I$304,2,0)),"")</f>
        <v/>
      </c>
      <c r="G292" s="23">
        <f>IFERROR(IF(OR(C292="",D292=""),"",D292*VLOOKUP(C292,'Setup - Mix Design'!$A$5:$I$304,3,0)),"")</f>
        <v/>
      </c>
      <c r="H292" s="23">
        <f>IFERROR(IF(OR(C292="",D292=""),"",D292*VLOOKUP(C292,'Setup - Mix Design'!$A$5:$I$304,4,0)),"")</f>
        <v/>
      </c>
      <c r="I292" s="23">
        <f>IFERROR(IF(OR(C292="",D292=""),"",D292*VLOOKUP(C292,'Setup - Mix Design'!$A$5:$I$304,5,0)),"")</f>
        <v/>
      </c>
      <c r="J292" s="23">
        <f>IFERROR(IF(OR(C292="",D292=""),"",D292*VLOOKUP(C292,'Setup - Mix Design'!$A$5:$I$304,6,0)),"")</f>
        <v/>
      </c>
      <c r="K292" s="23">
        <f>IFERROR(IF(OR(C292="",D292=""),"",D292*VLOOKUP(C292,'Setup - Mix Design'!$A$5:$I$304,7,0)),"")</f>
        <v/>
      </c>
    </row>
    <row r="293">
      <c r="A293" s="26" t="n"/>
      <c r="B293" s="21" t="n"/>
      <c r="C293" s="21" t="n"/>
      <c r="D293" s="22" t="n"/>
      <c r="E293" s="21" t="n"/>
      <c r="F293" s="23">
        <f>IFERROR(IF(OR(C293="",D293=""),"",D293*VLOOKUP(C293,'Setup - Mix Design'!$A$5:$I$304,2,0)),"")</f>
        <v/>
      </c>
      <c r="G293" s="23">
        <f>IFERROR(IF(OR(C293="",D293=""),"",D293*VLOOKUP(C293,'Setup - Mix Design'!$A$5:$I$304,3,0)),"")</f>
        <v/>
      </c>
      <c r="H293" s="23">
        <f>IFERROR(IF(OR(C293="",D293=""),"",D293*VLOOKUP(C293,'Setup - Mix Design'!$A$5:$I$304,4,0)),"")</f>
        <v/>
      </c>
      <c r="I293" s="23">
        <f>IFERROR(IF(OR(C293="",D293=""),"",D293*VLOOKUP(C293,'Setup - Mix Design'!$A$5:$I$304,5,0)),"")</f>
        <v/>
      </c>
      <c r="J293" s="23">
        <f>IFERROR(IF(OR(C293="",D293=""),"",D293*VLOOKUP(C293,'Setup - Mix Design'!$A$5:$I$304,6,0)),"")</f>
        <v/>
      </c>
      <c r="K293" s="23">
        <f>IFERROR(IF(OR(C293="",D293=""),"",D293*VLOOKUP(C293,'Setup - Mix Design'!$A$5:$I$304,7,0)),"")</f>
        <v/>
      </c>
    </row>
    <row r="294">
      <c r="A294" s="26" t="n"/>
      <c r="B294" s="21" t="n"/>
      <c r="C294" s="21" t="n"/>
      <c r="D294" s="22" t="n"/>
      <c r="E294" s="21" t="n"/>
      <c r="F294" s="23">
        <f>IFERROR(IF(OR(C294="",D294=""),"",D294*VLOOKUP(C294,'Setup - Mix Design'!$A$5:$I$304,2,0)),"")</f>
        <v/>
      </c>
      <c r="G294" s="23">
        <f>IFERROR(IF(OR(C294="",D294=""),"",D294*VLOOKUP(C294,'Setup - Mix Design'!$A$5:$I$304,3,0)),"")</f>
        <v/>
      </c>
      <c r="H294" s="23">
        <f>IFERROR(IF(OR(C294="",D294=""),"",D294*VLOOKUP(C294,'Setup - Mix Design'!$A$5:$I$304,4,0)),"")</f>
        <v/>
      </c>
      <c r="I294" s="23">
        <f>IFERROR(IF(OR(C294="",D294=""),"",D294*VLOOKUP(C294,'Setup - Mix Design'!$A$5:$I$304,5,0)),"")</f>
        <v/>
      </c>
      <c r="J294" s="23">
        <f>IFERROR(IF(OR(C294="",D294=""),"",D294*VLOOKUP(C294,'Setup - Mix Design'!$A$5:$I$304,6,0)),"")</f>
        <v/>
      </c>
      <c r="K294" s="23">
        <f>IFERROR(IF(OR(C294="",D294=""),"",D294*VLOOKUP(C294,'Setup - Mix Design'!$A$5:$I$304,7,0)),"")</f>
        <v/>
      </c>
    </row>
    <row r="295">
      <c r="A295" s="26" t="n"/>
      <c r="B295" s="21" t="n"/>
      <c r="C295" s="21" t="n"/>
      <c r="D295" s="22" t="n"/>
      <c r="E295" s="21" t="n"/>
      <c r="F295" s="23">
        <f>IFERROR(IF(OR(C295="",D295=""),"",D295*VLOOKUP(C295,'Setup - Mix Design'!$A$5:$I$304,2,0)),"")</f>
        <v/>
      </c>
      <c r="G295" s="23">
        <f>IFERROR(IF(OR(C295="",D295=""),"",D295*VLOOKUP(C295,'Setup - Mix Design'!$A$5:$I$304,3,0)),"")</f>
        <v/>
      </c>
      <c r="H295" s="23">
        <f>IFERROR(IF(OR(C295="",D295=""),"",D295*VLOOKUP(C295,'Setup - Mix Design'!$A$5:$I$304,4,0)),"")</f>
        <v/>
      </c>
      <c r="I295" s="23">
        <f>IFERROR(IF(OR(C295="",D295=""),"",D295*VLOOKUP(C295,'Setup - Mix Design'!$A$5:$I$304,5,0)),"")</f>
        <v/>
      </c>
      <c r="J295" s="23">
        <f>IFERROR(IF(OR(C295="",D295=""),"",D295*VLOOKUP(C295,'Setup - Mix Design'!$A$5:$I$304,6,0)),"")</f>
        <v/>
      </c>
      <c r="K295" s="23">
        <f>IFERROR(IF(OR(C295="",D295=""),"",D295*VLOOKUP(C295,'Setup - Mix Design'!$A$5:$I$304,7,0)),"")</f>
        <v/>
      </c>
    </row>
    <row r="296">
      <c r="A296" s="26" t="n"/>
      <c r="B296" s="21" t="n"/>
      <c r="C296" s="21" t="n"/>
      <c r="D296" s="22" t="n"/>
      <c r="E296" s="21" t="n"/>
      <c r="F296" s="23">
        <f>IFERROR(IF(OR(C296="",D296=""),"",D296*VLOOKUP(C296,'Setup - Mix Design'!$A$5:$I$304,2,0)),"")</f>
        <v/>
      </c>
      <c r="G296" s="23">
        <f>IFERROR(IF(OR(C296="",D296=""),"",D296*VLOOKUP(C296,'Setup - Mix Design'!$A$5:$I$304,3,0)),"")</f>
        <v/>
      </c>
      <c r="H296" s="23">
        <f>IFERROR(IF(OR(C296="",D296=""),"",D296*VLOOKUP(C296,'Setup - Mix Design'!$A$5:$I$304,4,0)),"")</f>
        <v/>
      </c>
      <c r="I296" s="23">
        <f>IFERROR(IF(OR(C296="",D296=""),"",D296*VLOOKUP(C296,'Setup - Mix Design'!$A$5:$I$304,5,0)),"")</f>
        <v/>
      </c>
      <c r="J296" s="23">
        <f>IFERROR(IF(OR(C296="",D296=""),"",D296*VLOOKUP(C296,'Setup - Mix Design'!$A$5:$I$304,6,0)),"")</f>
        <v/>
      </c>
      <c r="K296" s="23">
        <f>IFERROR(IF(OR(C296="",D296=""),"",D296*VLOOKUP(C296,'Setup - Mix Design'!$A$5:$I$304,7,0)),"")</f>
        <v/>
      </c>
    </row>
    <row r="297">
      <c r="A297" s="26" t="n"/>
      <c r="B297" s="21" t="n"/>
      <c r="C297" s="21" t="n"/>
      <c r="D297" s="22" t="n"/>
      <c r="E297" s="21" t="n"/>
      <c r="F297" s="23">
        <f>IFERROR(IF(OR(C297="",D297=""),"",D297*VLOOKUP(C297,'Setup - Mix Design'!$A$5:$I$304,2,0)),"")</f>
        <v/>
      </c>
      <c r="G297" s="23">
        <f>IFERROR(IF(OR(C297="",D297=""),"",D297*VLOOKUP(C297,'Setup - Mix Design'!$A$5:$I$304,3,0)),"")</f>
        <v/>
      </c>
      <c r="H297" s="23">
        <f>IFERROR(IF(OR(C297="",D297=""),"",D297*VLOOKUP(C297,'Setup - Mix Design'!$A$5:$I$304,4,0)),"")</f>
        <v/>
      </c>
      <c r="I297" s="23">
        <f>IFERROR(IF(OR(C297="",D297=""),"",D297*VLOOKUP(C297,'Setup - Mix Design'!$A$5:$I$304,5,0)),"")</f>
        <v/>
      </c>
      <c r="J297" s="23">
        <f>IFERROR(IF(OR(C297="",D297=""),"",D297*VLOOKUP(C297,'Setup - Mix Design'!$A$5:$I$304,6,0)),"")</f>
        <v/>
      </c>
      <c r="K297" s="23">
        <f>IFERROR(IF(OR(C297="",D297=""),"",D297*VLOOKUP(C297,'Setup - Mix Design'!$A$5:$I$304,7,0)),"")</f>
        <v/>
      </c>
    </row>
    <row r="298">
      <c r="A298" s="26" t="n"/>
      <c r="B298" s="21" t="n"/>
      <c r="C298" s="21" t="n"/>
      <c r="D298" s="22" t="n"/>
      <c r="E298" s="21" t="n"/>
      <c r="F298" s="23">
        <f>IFERROR(IF(OR(C298="",D298=""),"",D298*VLOOKUP(C298,'Setup - Mix Design'!$A$5:$I$304,2,0)),"")</f>
        <v/>
      </c>
      <c r="G298" s="23">
        <f>IFERROR(IF(OR(C298="",D298=""),"",D298*VLOOKUP(C298,'Setup - Mix Design'!$A$5:$I$304,3,0)),"")</f>
        <v/>
      </c>
      <c r="H298" s="23">
        <f>IFERROR(IF(OR(C298="",D298=""),"",D298*VLOOKUP(C298,'Setup - Mix Design'!$A$5:$I$304,4,0)),"")</f>
        <v/>
      </c>
      <c r="I298" s="23">
        <f>IFERROR(IF(OR(C298="",D298=""),"",D298*VLOOKUP(C298,'Setup - Mix Design'!$A$5:$I$304,5,0)),"")</f>
        <v/>
      </c>
      <c r="J298" s="23">
        <f>IFERROR(IF(OR(C298="",D298=""),"",D298*VLOOKUP(C298,'Setup - Mix Design'!$A$5:$I$304,6,0)),"")</f>
        <v/>
      </c>
      <c r="K298" s="23">
        <f>IFERROR(IF(OR(C298="",D298=""),"",D298*VLOOKUP(C298,'Setup - Mix Design'!$A$5:$I$304,7,0)),"")</f>
        <v/>
      </c>
    </row>
    <row r="299">
      <c r="A299" s="26" t="n"/>
      <c r="B299" s="21" t="n"/>
      <c r="C299" s="21" t="n"/>
      <c r="D299" s="22" t="n"/>
      <c r="E299" s="21" t="n"/>
      <c r="F299" s="23">
        <f>IFERROR(IF(OR(C299="",D299=""),"",D299*VLOOKUP(C299,'Setup - Mix Design'!$A$5:$I$304,2,0)),"")</f>
        <v/>
      </c>
      <c r="G299" s="23">
        <f>IFERROR(IF(OR(C299="",D299=""),"",D299*VLOOKUP(C299,'Setup - Mix Design'!$A$5:$I$304,3,0)),"")</f>
        <v/>
      </c>
      <c r="H299" s="23">
        <f>IFERROR(IF(OR(C299="",D299=""),"",D299*VLOOKUP(C299,'Setup - Mix Design'!$A$5:$I$304,4,0)),"")</f>
        <v/>
      </c>
      <c r="I299" s="23">
        <f>IFERROR(IF(OR(C299="",D299=""),"",D299*VLOOKUP(C299,'Setup - Mix Design'!$A$5:$I$304,5,0)),"")</f>
        <v/>
      </c>
      <c r="J299" s="23">
        <f>IFERROR(IF(OR(C299="",D299=""),"",D299*VLOOKUP(C299,'Setup - Mix Design'!$A$5:$I$304,6,0)),"")</f>
        <v/>
      </c>
      <c r="K299" s="23">
        <f>IFERROR(IF(OR(C299="",D299=""),"",D299*VLOOKUP(C299,'Setup - Mix Design'!$A$5:$I$304,7,0)),"")</f>
        <v/>
      </c>
    </row>
    <row r="300">
      <c r="A300" s="26" t="n"/>
      <c r="B300" s="21" t="n"/>
      <c r="C300" s="21" t="n"/>
      <c r="D300" s="22" t="n"/>
      <c r="E300" s="21" t="n"/>
      <c r="F300" s="23">
        <f>IFERROR(IF(OR(C300="",D300=""),"",D300*VLOOKUP(C300,'Setup - Mix Design'!$A$5:$I$304,2,0)),"")</f>
        <v/>
      </c>
      <c r="G300" s="23">
        <f>IFERROR(IF(OR(C300="",D300=""),"",D300*VLOOKUP(C300,'Setup - Mix Design'!$A$5:$I$304,3,0)),"")</f>
        <v/>
      </c>
      <c r="H300" s="23">
        <f>IFERROR(IF(OR(C300="",D300=""),"",D300*VLOOKUP(C300,'Setup - Mix Design'!$A$5:$I$304,4,0)),"")</f>
        <v/>
      </c>
      <c r="I300" s="23">
        <f>IFERROR(IF(OR(C300="",D300=""),"",D300*VLOOKUP(C300,'Setup - Mix Design'!$A$5:$I$304,5,0)),"")</f>
        <v/>
      </c>
      <c r="J300" s="23">
        <f>IFERROR(IF(OR(C300="",D300=""),"",D300*VLOOKUP(C300,'Setup - Mix Design'!$A$5:$I$304,6,0)),"")</f>
        <v/>
      </c>
      <c r="K300" s="23">
        <f>IFERROR(IF(OR(C300="",D300=""),"",D300*VLOOKUP(C300,'Setup - Mix Design'!$A$5:$I$304,7,0)),"")</f>
        <v/>
      </c>
    </row>
    <row r="301">
      <c r="A301" s="26" t="n"/>
      <c r="B301" s="21" t="n"/>
      <c r="C301" s="21" t="n"/>
      <c r="D301" s="22" t="n"/>
      <c r="E301" s="21" t="n"/>
      <c r="F301" s="23">
        <f>IFERROR(IF(OR(C301="",D301=""),"",D301*VLOOKUP(C301,'Setup - Mix Design'!$A$5:$I$304,2,0)),"")</f>
        <v/>
      </c>
      <c r="G301" s="23">
        <f>IFERROR(IF(OR(C301="",D301=""),"",D301*VLOOKUP(C301,'Setup - Mix Design'!$A$5:$I$304,3,0)),"")</f>
        <v/>
      </c>
      <c r="H301" s="23">
        <f>IFERROR(IF(OR(C301="",D301=""),"",D301*VLOOKUP(C301,'Setup - Mix Design'!$A$5:$I$304,4,0)),"")</f>
        <v/>
      </c>
      <c r="I301" s="23">
        <f>IFERROR(IF(OR(C301="",D301=""),"",D301*VLOOKUP(C301,'Setup - Mix Design'!$A$5:$I$304,5,0)),"")</f>
        <v/>
      </c>
      <c r="J301" s="23">
        <f>IFERROR(IF(OR(C301="",D301=""),"",D301*VLOOKUP(C301,'Setup - Mix Design'!$A$5:$I$304,6,0)),"")</f>
        <v/>
      </c>
      <c r="K301" s="23">
        <f>IFERROR(IF(OR(C301="",D301=""),"",D301*VLOOKUP(C301,'Setup - Mix Design'!$A$5:$I$304,7,0)),"")</f>
        <v/>
      </c>
    </row>
    <row r="302">
      <c r="A302" s="26" t="n"/>
      <c r="B302" s="21" t="n"/>
      <c r="C302" s="21" t="n"/>
      <c r="D302" s="22" t="n"/>
      <c r="E302" s="21" t="n"/>
      <c r="F302" s="23">
        <f>IFERROR(IF(OR(C302="",D302=""),"",D302*VLOOKUP(C302,'Setup - Mix Design'!$A$5:$I$304,2,0)),"")</f>
        <v/>
      </c>
      <c r="G302" s="23">
        <f>IFERROR(IF(OR(C302="",D302=""),"",D302*VLOOKUP(C302,'Setup - Mix Design'!$A$5:$I$304,3,0)),"")</f>
        <v/>
      </c>
      <c r="H302" s="23">
        <f>IFERROR(IF(OR(C302="",D302=""),"",D302*VLOOKUP(C302,'Setup - Mix Design'!$A$5:$I$304,4,0)),"")</f>
        <v/>
      </c>
      <c r="I302" s="23">
        <f>IFERROR(IF(OR(C302="",D302=""),"",D302*VLOOKUP(C302,'Setup - Mix Design'!$A$5:$I$304,5,0)),"")</f>
        <v/>
      </c>
      <c r="J302" s="23">
        <f>IFERROR(IF(OR(C302="",D302=""),"",D302*VLOOKUP(C302,'Setup - Mix Design'!$A$5:$I$304,6,0)),"")</f>
        <v/>
      </c>
      <c r="K302" s="23">
        <f>IFERROR(IF(OR(C302="",D302=""),"",D302*VLOOKUP(C302,'Setup - Mix Design'!$A$5:$I$304,7,0)),"")</f>
        <v/>
      </c>
    </row>
    <row r="303">
      <c r="A303" s="26" t="n"/>
      <c r="B303" s="21" t="n"/>
      <c r="C303" s="21" t="n"/>
      <c r="D303" s="22" t="n"/>
      <c r="E303" s="21" t="n"/>
      <c r="F303" s="23">
        <f>IFERROR(IF(OR(C303="",D303=""),"",D303*VLOOKUP(C303,'Setup - Mix Design'!$A$5:$I$304,2,0)),"")</f>
        <v/>
      </c>
      <c r="G303" s="23">
        <f>IFERROR(IF(OR(C303="",D303=""),"",D303*VLOOKUP(C303,'Setup - Mix Design'!$A$5:$I$304,3,0)),"")</f>
        <v/>
      </c>
      <c r="H303" s="23">
        <f>IFERROR(IF(OR(C303="",D303=""),"",D303*VLOOKUP(C303,'Setup - Mix Design'!$A$5:$I$304,4,0)),"")</f>
        <v/>
      </c>
      <c r="I303" s="23">
        <f>IFERROR(IF(OR(C303="",D303=""),"",D303*VLOOKUP(C303,'Setup - Mix Design'!$A$5:$I$304,5,0)),"")</f>
        <v/>
      </c>
      <c r="J303" s="23">
        <f>IFERROR(IF(OR(C303="",D303=""),"",D303*VLOOKUP(C303,'Setup - Mix Design'!$A$5:$I$304,6,0)),"")</f>
        <v/>
      </c>
      <c r="K303" s="23">
        <f>IFERROR(IF(OR(C303="",D303=""),"",D303*VLOOKUP(C303,'Setup - Mix Design'!$A$5:$I$304,7,0)),"")</f>
        <v/>
      </c>
    </row>
    <row r="304">
      <c r="A304" s="26" t="n"/>
      <c r="B304" s="21" t="n"/>
      <c r="C304" s="21" t="n"/>
      <c r="D304" s="22" t="n"/>
      <c r="E304" s="21" t="n"/>
      <c r="F304" s="23">
        <f>IFERROR(IF(OR(C304="",D304=""),"",D304*VLOOKUP(C304,'Setup - Mix Design'!$A$5:$I$304,2,0)),"")</f>
        <v/>
      </c>
      <c r="G304" s="23">
        <f>IFERROR(IF(OR(C304="",D304=""),"",D304*VLOOKUP(C304,'Setup - Mix Design'!$A$5:$I$304,3,0)),"")</f>
        <v/>
      </c>
      <c r="H304" s="23">
        <f>IFERROR(IF(OR(C304="",D304=""),"",D304*VLOOKUP(C304,'Setup - Mix Design'!$A$5:$I$304,4,0)),"")</f>
        <v/>
      </c>
      <c r="I304" s="23">
        <f>IFERROR(IF(OR(C304="",D304=""),"",D304*VLOOKUP(C304,'Setup - Mix Design'!$A$5:$I$304,5,0)),"")</f>
        <v/>
      </c>
      <c r="J304" s="23">
        <f>IFERROR(IF(OR(C304="",D304=""),"",D304*VLOOKUP(C304,'Setup - Mix Design'!$A$5:$I$304,6,0)),"")</f>
        <v/>
      </c>
      <c r="K304" s="23">
        <f>IFERROR(IF(OR(C304="",D304=""),"",D304*VLOOKUP(C304,'Setup - Mix Design'!$A$5:$I$304,7,0)),"")</f>
        <v/>
      </c>
    </row>
  </sheetData>
  <mergeCells count="2">
    <mergeCell ref="A2:K2"/>
    <mergeCell ref="A1:K1"/>
  </mergeCells>
  <dataValidations count="1">
    <dataValidation sqref="C5:C304" showDropDown="0" showInputMessage="0" showErrorMessage="0" allowBlank="1" error="Pick a value from the list." promptTitle="Select" prompt="Choose from the dropdown." type="list">
      <formula1>=GradeList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2203A"/>
    <outlinePr summaryBelow="1" summaryRight="1"/>
    <pageSetUpPr/>
  </sheetPr>
  <dimension ref="A1:H3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0" customWidth="1" min="4" max="4"/>
    <col width="14" customWidth="1" min="5" max="5"/>
    <col width="15" customWidth="1" min="6" max="6"/>
    <col width="24" customWidth="1" min="7" max="7"/>
    <col width="16" customWidth="1" min="8" max="8"/>
  </cols>
  <sheetData>
    <row r="1" ht="34" customHeight="1">
      <c r="A1" s="1" t="inlineStr">
        <is>
          <t>Material Receipt  -  Purchases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Incoming raw material. Unit auto-fills; amount auto-calculates. Feeds 'Received' in the Stock Register.</t>
        </is>
      </c>
      <c r="B2" s="2" t="n"/>
      <c r="C2" s="2" t="n"/>
      <c r="D2" s="2" t="n"/>
      <c r="E2" s="2" t="n"/>
      <c r="F2" s="2" t="n"/>
      <c r="G2" s="2" t="n"/>
      <c r="H2" s="2" t="n"/>
    </row>
    <row r="4" ht="30" customHeight="1">
      <c r="A4" s="25" t="inlineStr">
        <is>
          <t>Date</t>
        </is>
      </c>
      <c r="B4" s="25" t="inlineStr">
        <is>
          <t>Material</t>
        </is>
      </c>
      <c r="C4" s="25" t="inlineStr">
        <is>
          <t>Qty Received</t>
        </is>
      </c>
      <c r="D4" s="25" t="inlineStr">
        <is>
          <t>Unit</t>
        </is>
      </c>
      <c r="E4" s="25" t="inlineStr">
        <is>
          <t>Rate (₹/unit)</t>
        </is>
      </c>
      <c r="F4" s="25" t="inlineStr">
        <is>
          <t>Amount (₹)</t>
        </is>
      </c>
      <c r="G4" s="25" t="inlineStr">
        <is>
          <t>Supplier</t>
        </is>
      </c>
      <c r="H4" s="25" t="inlineStr">
        <is>
          <t>Invoice No.</t>
        </is>
      </c>
    </row>
    <row r="5">
      <c r="A5" s="26" t="inlineStr">
        <is>
          <t>2026-06-21</t>
        </is>
      </c>
      <c r="B5" s="21" t="inlineStr">
        <is>
          <t>Cement</t>
        </is>
      </c>
      <c r="C5" s="22" t="n">
        <v>30000</v>
      </c>
      <c r="D5" s="23">
        <f>IFERROR(IF(B5="","",VLOOKUP(B5,'Setup - Materials'!$A$5:$D$304,2,0)),"")</f>
        <v/>
      </c>
      <c r="E5" s="22" t="n">
        <v>7.4</v>
      </c>
      <c r="F5" s="23">
        <f>IF(OR(C5="",E5=""),"",C5*E5)</f>
        <v/>
      </c>
      <c r="G5" s="21" t="inlineStr">
        <is>
          <t>UltraTech</t>
        </is>
      </c>
      <c r="H5" s="21" t="inlineStr">
        <is>
          <t>INV-5567</t>
        </is>
      </c>
    </row>
    <row r="6">
      <c r="A6" s="26" t="inlineStr">
        <is>
          <t>2026-06-21</t>
        </is>
      </c>
      <c r="B6" s="21" t="inlineStr">
        <is>
          <t>Sand</t>
        </is>
      </c>
      <c r="C6" s="22" t="n">
        <v>60000</v>
      </c>
      <c r="D6" s="23">
        <f>IFERROR(IF(B6="","",VLOOKUP(B6,'Setup - Materials'!$A$5:$D$304,2,0)),"")</f>
        <v/>
      </c>
      <c r="E6" s="22" t="n">
        <v>1.15</v>
      </c>
      <c r="F6" s="23">
        <f>IF(OR(C6="",E6=""),"",C6*E6)</f>
        <v/>
      </c>
      <c r="G6" s="21" t="inlineStr">
        <is>
          <t>Krishna Sand</t>
        </is>
      </c>
      <c r="H6" s="21" t="inlineStr">
        <is>
          <t>INV-2231</t>
        </is>
      </c>
    </row>
    <row r="7">
      <c r="A7" s="26" t="inlineStr">
        <is>
          <t>2026-06-20</t>
        </is>
      </c>
      <c r="B7" s="21" t="inlineStr">
        <is>
          <t>Diesel</t>
        </is>
      </c>
      <c r="C7" s="22" t="n">
        <v>1000</v>
      </c>
      <c r="D7" s="23">
        <f>IFERROR(IF(B7="","",VLOOKUP(B7,'Setup - Materials'!$A$5:$D$304,2,0)),"")</f>
        <v/>
      </c>
      <c r="E7" s="22" t="n">
        <v>92</v>
      </c>
      <c r="F7" s="23">
        <f>IF(OR(C7="",E7=""),"",C7*E7)</f>
        <v/>
      </c>
      <c r="G7" s="21" t="inlineStr">
        <is>
          <t>HP Petrol Pump</t>
        </is>
      </c>
      <c r="H7" s="21" t="inlineStr">
        <is>
          <t>INV-9981</t>
        </is>
      </c>
    </row>
    <row r="8">
      <c r="A8" s="26" t="n"/>
      <c r="B8" s="21" t="n"/>
      <c r="C8" s="22" t="n"/>
      <c r="D8" s="23">
        <f>IFERROR(IF(B8="","",VLOOKUP(B8,'Setup - Materials'!$A$5:$D$304,2,0)),"")</f>
        <v/>
      </c>
      <c r="E8" s="22" t="n"/>
      <c r="F8" s="23">
        <f>IF(OR(C8="",E8=""),"",C8*E8)</f>
        <v/>
      </c>
      <c r="G8" s="21" t="n"/>
      <c r="H8" s="21" t="n"/>
    </row>
    <row r="9">
      <c r="A9" s="26" t="n"/>
      <c r="B9" s="21" t="n"/>
      <c r="C9" s="22" t="n"/>
      <c r="D9" s="23">
        <f>IFERROR(IF(B9="","",VLOOKUP(B9,'Setup - Materials'!$A$5:$D$304,2,0)),"")</f>
        <v/>
      </c>
      <c r="E9" s="22" t="n"/>
      <c r="F9" s="23">
        <f>IF(OR(C9="",E9=""),"",C9*E9)</f>
        <v/>
      </c>
      <c r="G9" s="21" t="n"/>
      <c r="H9" s="21" t="n"/>
    </row>
    <row r="10">
      <c r="A10" s="26" t="n"/>
      <c r="B10" s="21" t="n"/>
      <c r="C10" s="22" t="n"/>
      <c r="D10" s="23">
        <f>IFERROR(IF(B10="","",VLOOKUP(B10,'Setup - Materials'!$A$5:$D$304,2,0)),"")</f>
        <v/>
      </c>
      <c r="E10" s="22" t="n"/>
      <c r="F10" s="23">
        <f>IF(OR(C10="",E10=""),"",C10*E10)</f>
        <v/>
      </c>
      <c r="G10" s="21" t="n"/>
      <c r="H10" s="21" t="n"/>
    </row>
    <row r="11">
      <c r="A11" s="26" t="n"/>
      <c r="B11" s="21" t="n"/>
      <c r="C11" s="22" t="n"/>
      <c r="D11" s="23">
        <f>IFERROR(IF(B11="","",VLOOKUP(B11,'Setup - Materials'!$A$5:$D$304,2,0)),"")</f>
        <v/>
      </c>
      <c r="E11" s="22" t="n"/>
      <c r="F11" s="23">
        <f>IF(OR(C11="",E11=""),"",C11*E11)</f>
        <v/>
      </c>
      <c r="G11" s="21" t="n"/>
      <c r="H11" s="21" t="n"/>
    </row>
    <row r="12">
      <c r="A12" s="26" t="n"/>
      <c r="B12" s="21" t="n"/>
      <c r="C12" s="22" t="n"/>
      <c r="D12" s="23">
        <f>IFERROR(IF(B12="","",VLOOKUP(B12,'Setup - Materials'!$A$5:$D$304,2,0)),"")</f>
        <v/>
      </c>
      <c r="E12" s="22" t="n"/>
      <c r="F12" s="23">
        <f>IF(OR(C12="",E12=""),"",C12*E12)</f>
        <v/>
      </c>
      <c r="G12" s="21" t="n"/>
      <c r="H12" s="21" t="n"/>
    </row>
    <row r="13">
      <c r="A13" s="26" t="n"/>
      <c r="B13" s="21" t="n"/>
      <c r="C13" s="22" t="n"/>
      <c r="D13" s="23">
        <f>IFERROR(IF(B13="","",VLOOKUP(B13,'Setup - Materials'!$A$5:$D$304,2,0)),"")</f>
        <v/>
      </c>
      <c r="E13" s="22" t="n"/>
      <c r="F13" s="23">
        <f>IF(OR(C13="",E13=""),"",C13*E13)</f>
        <v/>
      </c>
      <c r="G13" s="21" t="n"/>
      <c r="H13" s="21" t="n"/>
    </row>
    <row r="14">
      <c r="A14" s="26" t="n"/>
      <c r="B14" s="21" t="n"/>
      <c r="C14" s="22" t="n"/>
      <c r="D14" s="23">
        <f>IFERROR(IF(B14="","",VLOOKUP(B14,'Setup - Materials'!$A$5:$D$304,2,0)),"")</f>
        <v/>
      </c>
      <c r="E14" s="22" t="n"/>
      <c r="F14" s="23">
        <f>IF(OR(C14="",E14=""),"",C14*E14)</f>
        <v/>
      </c>
      <c r="G14" s="21" t="n"/>
      <c r="H14" s="21" t="n"/>
    </row>
    <row r="15">
      <c r="A15" s="26" t="n"/>
      <c r="B15" s="21" t="n"/>
      <c r="C15" s="22" t="n"/>
      <c r="D15" s="23">
        <f>IFERROR(IF(B15="","",VLOOKUP(B15,'Setup - Materials'!$A$5:$D$304,2,0)),"")</f>
        <v/>
      </c>
      <c r="E15" s="22" t="n"/>
      <c r="F15" s="23">
        <f>IF(OR(C15="",E15=""),"",C15*E15)</f>
        <v/>
      </c>
      <c r="G15" s="21" t="n"/>
      <c r="H15" s="21" t="n"/>
    </row>
    <row r="16">
      <c r="A16" s="26" t="n"/>
      <c r="B16" s="21" t="n"/>
      <c r="C16" s="22" t="n"/>
      <c r="D16" s="23">
        <f>IFERROR(IF(B16="","",VLOOKUP(B16,'Setup - Materials'!$A$5:$D$304,2,0)),"")</f>
        <v/>
      </c>
      <c r="E16" s="22" t="n"/>
      <c r="F16" s="23">
        <f>IF(OR(C16="",E16=""),"",C16*E16)</f>
        <v/>
      </c>
      <c r="G16" s="21" t="n"/>
      <c r="H16" s="21" t="n"/>
    </row>
    <row r="17">
      <c r="A17" s="26" t="n"/>
      <c r="B17" s="21" t="n"/>
      <c r="C17" s="22" t="n"/>
      <c r="D17" s="23">
        <f>IFERROR(IF(B17="","",VLOOKUP(B17,'Setup - Materials'!$A$5:$D$304,2,0)),"")</f>
        <v/>
      </c>
      <c r="E17" s="22" t="n"/>
      <c r="F17" s="23">
        <f>IF(OR(C17="",E17=""),"",C17*E17)</f>
        <v/>
      </c>
      <c r="G17" s="21" t="n"/>
      <c r="H17" s="21" t="n"/>
    </row>
    <row r="18">
      <c r="A18" s="26" t="n"/>
      <c r="B18" s="21" t="n"/>
      <c r="C18" s="22" t="n"/>
      <c r="D18" s="23">
        <f>IFERROR(IF(B18="","",VLOOKUP(B18,'Setup - Materials'!$A$5:$D$304,2,0)),"")</f>
        <v/>
      </c>
      <c r="E18" s="22" t="n"/>
      <c r="F18" s="23">
        <f>IF(OR(C18="",E18=""),"",C18*E18)</f>
        <v/>
      </c>
      <c r="G18" s="21" t="n"/>
      <c r="H18" s="21" t="n"/>
    </row>
    <row r="19">
      <c r="A19" s="26" t="n"/>
      <c r="B19" s="21" t="n"/>
      <c r="C19" s="22" t="n"/>
      <c r="D19" s="23">
        <f>IFERROR(IF(B19="","",VLOOKUP(B19,'Setup - Materials'!$A$5:$D$304,2,0)),"")</f>
        <v/>
      </c>
      <c r="E19" s="22" t="n"/>
      <c r="F19" s="23">
        <f>IF(OR(C19="",E19=""),"",C19*E19)</f>
        <v/>
      </c>
      <c r="G19" s="21" t="n"/>
      <c r="H19" s="21" t="n"/>
    </row>
    <row r="20">
      <c r="A20" s="26" t="n"/>
      <c r="B20" s="21" t="n"/>
      <c r="C20" s="22" t="n"/>
      <c r="D20" s="23">
        <f>IFERROR(IF(B20="","",VLOOKUP(B20,'Setup - Materials'!$A$5:$D$304,2,0)),"")</f>
        <v/>
      </c>
      <c r="E20" s="22" t="n"/>
      <c r="F20" s="23">
        <f>IF(OR(C20="",E20=""),"",C20*E20)</f>
        <v/>
      </c>
      <c r="G20" s="21" t="n"/>
      <c r="H20" s="21" t="n"/>
    </row>
    <row r="21">
      <c r="A21" s="26" t="n"/>
      <c r="B21" s="21" t="n"/>
      <c r="C21" s="22" t="n"/>
      <c r="D21" s="23">
        <f>IFERROR(IF(B21="","",VLOOKUP(B21,'Setup - Materials'!$A$5:$D$304,2,0)),"")</f>
        <v/>
      </c>
      <c r="E21" s="22" t="n"/>
      <c r="F21" s="23">
        <f>IF(OR(C21="",E21=""),"",C21*E21)</f>
        <v/>
      </c>
      <c r="G21" s="21" t="n"/>
      <c r="H21" s="21" t="n"/>
    </row>
    <row r="22">
      <c r="A22" s="26" t="n"/>
      <c r="B22" s="21" t="n"/>
      <c r="C22" s="22" t="n"/>
      <c r="D22" s="23">
        <f>IFERROR(IF(B22="","",VLOOKUP(B22,'Setup - Materials'!$A$5:$D$304,2,0)),"")</f>
        <v/>
      </c>
      <c r="E22" s="22" t="n"/>
      <c r="F22" s="23">
        <f>IF(OR(C22="",E22=""),"",C22*E22)</f>
        <v/>
      </c>
      <c r="G22" s="21" t="n"/>
      <c r="H22" s="21" t="n"/>
    </row>
    <row r="23">
      <c r="A23" s="26" t="n"/>
      <c r="B23" s="21" t="n"/>
      <c r="C23" s="22" t="n"/>
      <c r="D23" s="23">
        <f>IFERROR(IF(B23="","",VLOOKUP(B23,'Setup - Materials'!$A$5:$D$304,2,0)),"")</f>
        <v/>
      </c>
      <c r="E23" s="22" t="n"/>
      <c r="F23" s="23">
        <f>IF(OR(C23="",E23=""),"",C23*E23)</f>
        <v/>
      </c>
      <c r="G23" s="21" t="n"/>
      <c r="H23" s="21" t="n"/>
    </row>
    <row r="24">
      <c r="A24" s="26" t="n"/>
      <c r="B24" s="21" t="n"/>
      <c r="C24" s="22" t="n"/>
      <c r="D24" s="23">
        <f>IFERROR(IF(B24="","",VLOOKUP(B24,'Setup - Materials'!$A$5:$D$304,2,0)),"")</f>
        <v/>
      </c>
      <c r="E24" s="22" t="n"/>
      <c r="F24" s="23">
        <f>IF(OR(C24="",E24=""),"",C24*E24)</f>
        <v/>
      </c>
      <c r="G24" s="21" t="n"/>
      <c r="H24" s="21" t="n"/>
    </row>
    <row r="25">
      <c r="A25" s="26" t="n"/>
      <c r="B25" s="21" t="n"/>
      <c r="C25" s="22" t="n"/>
      <c r="D25" s="23">
        <f>IFERROR(IF(B25="","",VLOOKUP(B25,'Setup - Materials'!$A$5:$D$304,2,0)),"")</f>
        <v/>
      </c>
      <c r="E25" s="22" t="n"/>
      <c r="F25" s="23">
        <f>IF(OR(C25="",E25=""),"",C25*E25)</f>
        <v/>
      </c>
      <c r="G25" s="21" t="n"/>
      <c r="H25" s="21" t="n"/>
    </row>
    <row r="26">
      <c r="A26" s="26" t="n"/>
      <c r="B26" s="21" t="n"/>
      <c r="C26" s="22" t="n"/>
      <c r="D26" s="23">
        <f>IFERROR(IF(B26="","",VLOOKUP(B26,'Setup - Materials'!$A$5:$D$304,2,0)),"")</f>
        <v/>
      </c>
      <c r="E26" s="22" t="n"/>
      <c r="F26" s="23">
        <f>IF(OR(C26="",E26=""),"",C26*E26)</f>
        <v/>
      </c>
      <c r="G26" s="21" t="n"/>
      <c r="H26" s="21" t="n"/>
    </row>
    <row r="27">
      <c r="A27" s="26" t="n"/>
      <c r="B27" s="21" t="n"/>
      <c r="C27" s="22" t="n"/>
      <c r="D27" s="23">
        <f>IFERROR(IF(B27="","",VLOOKUP(B27,'Setup - Materials'!$A$5:$D$304,2,0)),"")</f>
        <v/>
      </c>
      <c r="E27" s="22" t="n"/>
      <c r="F27" s="23">
        <f>IF(OR(C27="",E27=""),"",C27*E27)</f>
        <v/>
      </c>
      <c r="G27" s="21" t="n"/>
      <c r="H27" s="21" t="n"/>
    </row>
    <row r="28">
      <c r="A28" s="26" t="n"/>
      <c r="B28" s="21" t="n"/>
      <c r="C28" s="22" t="n"/>
      <c r="D28" s="23">
        <f>IFERROR(IF(B28="","",VLOOKUP(B28,'Setup - Materials'!$A$5:$D$304,2,0)),"")</f>
        <v/>
      </c>
      <c r="E28" s="22" t="n"/>
      <c r="F28" s="23">
        <f>IF(OR(C28="",E28=""),"",C28*E28)</f>
        <v/>
      </c>
      <c r="G28" s="21" t="n"/>
      <c r="H28" s="21" t="n"/>
    </row>
    <row r="29">
      <c r="A29" s="26" t="n"/>
      <c r="B29" s="21" t="n"/>
      <c r="C29" s="22" t="n"/>
      <c r="D29" s="23">
        <f>IFERROR(IF(B29="","",VLOOKUP(B29,'Setup - Materials'!$A$5:$D$304,2,0)),"")</f>
        <v/>
      </c>
      <c r="E29" s="22" t="n"/>
      <c r="F29" s="23">
        <f>IF(OR(C29="",E29=""),"",C29*E29)</f>
        <v/>
      </c>
      <c r="G29" s="21" t="n"/>
      <c r="H29" s="21" t="n"/>
    </row>
    <row r="30">
      <c r="A30" s="26" t="n"/>
      <c r="B30" s="21" t="n"/>
      <c r="C30" s="22" t="n"/>
      <c r="D30" s="23">
        <f>IFERROR(IF(B30="","",VLOOKUP(B30,'Setup - Materials'!$A$5:$D$304,2,0)),"")</f>
        <v/>
      </c>
      <c r="E30" s="22" t="n"/>
      <c r="F30" s="23">
        <f>IF(OR(C30="",E30=""),"",C30*E30)</f>
        <v/>
      </c>
      <c r="G30" s="21" t="n"/>
      <c r="H30" s="21" t="n"/>
    </row>
    <row r="31">
      <c r="A31" s="26" t="n"/>
      <c r="B31" s="21" t="n"/>
      <c r="C31" s="22" t="n"/>
      <c r="D31" s="23">
        <f>IFERROR(IF(B31="","",VLOOKUP(B31,'Setup - Materials'!$A$5:$D$304,2,0)),"")</f>
        <v/>
      </c>
      <c r="E31" s="22" t="n"/>
      <c r="F31" s="23">
        <f>IF(OR(C31="",E31=""),"",C31*E31)</f>
        <v/>
      </c>
      <c r="G31" s="21" t="n"/>
      <c r="H31" s="21" t="n"/>
    </row>
    <row r="32">
      <c r="A32" s="26" t="n"/>
      <c r="B32" s="21" t="n"/>
      <c r="C32" s="22" t="n"/>
      <c r="D32" s="23">
        <f>IFERROR(IF(B32="","",VLOOKUP(B32,'Setup - Materials'!$A$5:$D$304,2,0)),"")</f>
        <v/>
      </c>
      <c r="E32" s="22" t="n"/>
      <c r="F32" s="23">
        <f>IF(OR(C32="",E32=""),"",C32*E32)</f>
        <v/>
      </c>
      <c r="G32" s="21" t="n"/>
      <c r="H32" s="21" t="n"/>
    </row>
    <row r="33">
      <c r="A33" s="26" t="n"/>
      <c r="B33" s="21" t="n"/>
      <c r="C33" s="22" t="n"/>
      <c r="D33" s="23">
        <f>IFERROR(IF(B33="","",VLOOKUP(B33,'Setup - Materials'!$A$5:$D$304,2,0)),"")</f>
        <v/>
      </c>
      <c r="E33" s="22" t="n"/>
      <c r="F33" s="23">
        <f>IF(OR(C33="",E33=""),"",C33*E33)</f>
        <v/>
      </c>
      <c r="G33" s="21" t="n"/>
      <c r="H33" s="21" t="n"/>
    </row>
    <row r="34">
      <c r="A34" s="26" t="n"/>
      <c r="B34" s="21" t="n"/>
      <c r="C34" s="22" t="n"/>
      <c r="D34" s="23">
        <f>IFERROR(IF(B34="","",VLOOKUP(B34,'Setup - Materials'!$A$5:$D$304,2,0)),"")</f>
        <v/>
      </c>
      <c r="E34" s="22" t="n"/>
      <c r="F34" s="23">
        <f>IF(OR(C34="",E34=""),"",C34*E34)</f>
        <v/>
      </c>
      <c r="G34" s="21" t="n"/>
      <c r="H34" s="21" t="n"/>
    </row>
    <row r="35">
      <c r="A35" s="26" t="n"/>
      <c r="B35" s="21" t="n"/>
      <c r="C35" s="22" t="n"/>
      <c r="D35" s="23">
        <f>IFERROR(IF(B35="","",VLOOKUP(B35,'Setup - Materials'!$A$5:$D$304,2,0)),"")</f>
        <v/>
      </c>
      <c r="E35" s="22" t="n"/>
      <c r="F35" s="23">
        <f>IF(OR(C35="",E35=""),"",C35*E35)</f>
        <v/>
      </c>
      <c r="G35" s="21" t="n"/>
      <c r="H35" s="21" t="n"/>
    </row>
    <row r="36">
      <c r="A36" s="26" t="n"/>
      <c r="B36" s="21" t="n"/>
      <c r="C36" s="22" t="n"/>
      <c r="D36" s="23">
        <f>IFERROR(IF(B36="","",VLOOKUP(B36,'Setup - Materials'!$A$5:$D$304,2,0)),"")</f>
        <v/>
      </c>
      <c r="E36" s="22" t="n"/>
      <c r="F36" s="23">
        <f>IF(OR(C36="",E36=""),"",C36*E36)</f>
        <v/>
      </c>
      <c r="G36" s="21" t="n"/>
      <c r="H36" s="21" t="n"/>
    </row>
    <row r="37">
      <c r="A37" s="26" t="n"/>
      <c r="B37" s="21" t="n"/>
      <c r="C37" s="22" t="n"/>
      <c r="D37" s="23">
        <f>IFERROR(IF(B37="","",VLOOKUP(B37,'Setup - Materials'!$A$5:$D$304,2,0)),"")</f>
        <v/>
      </c>
      <c r="E37" s="22" t="n"/>
      <c r="F37" s="23">
        <f>IF(OR(C37="",E37=""),"",C37*E37)</f>
        <v/>
      </c>
      <c r="G37" s="21" t="n"/>
      <c r="H37" s="21" t="n"/>
    </row>
    <row r="38">
      <c r="A38" s="26" t="n"/>
      <c r="B38" s="21" t="n"/>
      <c r="C38" s="22" t="n"/>
      <c r="D38" s="23">
        <f>IFERROR(IF(B38="","",VLOOKUP(B38,'Setup - Materials'!$A$5:$D$304,2,0)),"")</f>
        <v/>
      </c>
      <c r="E38" s="22" t="n"/>
      <c r="F38" s="23">
        <f>IF(OR(C38="",E38=""),"",C38*E38)</f>
        <v/>
      </c>
      <c r="G38" s="21" t="n"/>
      <c r="H38" s="21" t="n"/>
    </row>
    <row r="39">
      <c r="A39" s="26" t="n"/>
      <c r="B39" s="21" t="n"/>
      <c r="C39" s="22" t="n"/>
      <c r="D39" s="23">
        <f>IFERROR(IF(B39="","",VLOOKUP(B39,'Setup - Materials'!$A$5:$D$304,2,0)),"")</f>
        <v/>
      </c>
      <c r="E39" s="22" t="n"/>
      <c r="F39" s="23">
        <f>IF(OR(C39="",E39=""),"",C39*E39)</f>
        <v/>
      </c>
      <c r="G39" s="21" t="n"/>
      <c r="H39" s="21" t="n"/>
    </row>
    <row r="40">
      <c r="A40" s="26" t="n"/>
      <c r="B40" s="21" t="n"/>
      <c r="C40" s="22" t="n"/>
      <c r="D40" s="23">
        <f>IFERROR(IF(B40="","",VLOOKUP(B40,'Setup - Materials'!$A$5:$D$304,2,0)),"")</f>
        <v/>
      </c>
      <c r="E40" s="22" t="n"/>
      <c r="F40" s="23">
        <f>IF(OR(C40="",E40=""),"",C40*E40)</f>
        <v/>
      </c>
      <c r="G40" s="21" t="n"/>
      <c r="H40" s="21" t="n"/>
    </row>
    <row r="41">
      <c r="A41" s="26" t="n"/>
      <c r="B41" s="21" t="n"/>
      <c r="C41" s="22" t="n"/>
      <c r="D41" s="23">
        <f>IFERROR(IF(B41="","",VLOOKUP(B41,'Setup - Materials'!$A$5:$D$304,2,0)),"")</f>
        <v/>
      </c>
      <c r="E41" s="22" t="n"/>
      <c r="F41" s="23">
        <f>IF(OR(C41="",E41=""),"",C41*E41)</f>
        <v/>
      </c>
      <c r="G41" s="21" t="n"/>
      <c r="H41" s="21" t="n"/>
    </row>
    <row r="42">
      <c r="A42" s="26" t="n"/>
      <c r="B42" s="21" t="n"/>
      <c r="C42" s="22" t="n"/>
      <c r="D42" s="23">
        <f>IFERROR(IF(B42="","",VLOOKUP(B42,'Setup - Materials'!$A$5:$D$304,2,0)),"")</f>
        <v/>
      </c>
      <c r="E42" s="22" t="n"/>
      <c r="F42" s="23">
        <f>IF(OR(C42="",E42=""),"",C42*E42)</f>
        <v/>
      </c>
      <c r="G42" s="21" t="n"/>
      <c r="H42" s="21" t="n"/>
    </row>
    <row r="43">
      <c r="A43" s="26" t="n"/>
      <c r="B43" s="21" t="n"/>
      <c r="C43" s="22" t="n"/>
      <c r="D43" s="23">
        <f>IFERROR(IF(B43="","",VLOOKUP(B43,'Setup - Materials'!$A$5:$D$304,2,0)),"")</f>
        <v/>
      </c>
      <c r="E43" s="22" t="n"/>
      <c r="F43" s="23">
        <f>IF(OR(C43="",E43=""),"",C43*E43)</f>
        <v/>
      </c>
      <c r="G43" s="21" t="n"/>
      <c r="H43" s="21" t="n"/>
    </row>
    <row r="44">
      <c r="A44" s="26" t="n"/>
      <c r="B44" s="21" t="n"/>
      <c r="C44" s="22" t="n"/>
      <c r="D44" s="23">
        <f>IFERROR(IF(B44="","",VLOOKUP(B44,'Setup - Materials'!$A$5:$D$304,2,0)),"")</f>
        <v/>
      </c>
      <c r="E44" s="22" t="n"/>
      <c r="F44" s="23">
        <f>IF(OR(C44="",E44=""),"",C44*E44)</f>
        <v/>
      </c>
      <c r="G44" s="21" t="n"/>
      <c r="H44" s="21" t="n"/>
    </row>
    <row r="45">
      <c r="A45" s="26" t="n"/>
      <c r="B45" s="21" t="n"/>
      <c r="C45" s="22" t="n"/>
      <c r="D45" s="23">
        <f>IFERROR(IF(B45="","",VLOOKUP(B45,'Setup - Materials'!$A$5:$D$304,2,0)),"")</f>
        <v/>
      </c>
      <c r="E45" s="22" t="n"/>
      <c r="F45" s="23">
        <f>IF(OR(C45="",E45=""),"",C45*E45)</f>
        <v/>
      </c>
      <c r="G45" s="21" t="n"/>
      <c r="H45" s="21" t="n"/>
    </row>
    <row r="46">
      <c r="A46" s="26" t="n"/>
      <c r="B46" s="21" t="n"/>
      <c r="C46" s="22" t="n"/>
      <c r="D46" s="23">
        <f>IFERROR(IF(B46="","",VLOOKUP(B46,'Setup - Materials'!$A$5:$D$304,2,0)),"")</f>
        <v/>
      </c>
      <c r="E46" s="22" t="n"/>
      <c r="F46" s="23">
        <f>IF(OR(C46="",E46=""),"",C46*E46)</f>
        <v/>
      </c>
      <c r="G46" s="21" t="n"/>
      <c r="H46" s="21" t="n"/>
    </row>
    <row r="47">
      <c r="A47" s="26" t="n"/>
      <c r="B47" s="21" t="n"/>
      <c r="C47" s="22" t="n"/>
      <c r="D47" s="23">
        <f>IFERROR(IF(B47="","",VLOOKUP(B47,'Setup - Materials'!$A$5:$D$304,2,0)),"")</f>
        <v/>
      </c>
      <c r="E47" s="22" t="n"/>
      <c r="F47" s="23">
        <f>IF(OR(C47="",E47=""),"",C47*E47)</f>
        <v/>
      </c>
      <c r="G47" s="21" t="n"/>
      <c r="H47" s="21" t="n"/>
    </row>
    <row r="48">
      <c r="A48" s="26" t="n"/>
      <c r="B48" s="21" t="n"/>
      <c r="C48" s="22" t="n"/>
      <c r="D48" s="23">
        <f>IFERROR(IF(B48="","",VLOOKUP(B48,'Setup - Materials'!$A$5:$D$304,2,0)),"")</f>
        <v/>
      </c>
      <c r="E48" s="22" t="n"/>
      <c r="F48" s="23">
        <f>IF(OR(C48="",E48=""),"",C48*E48)</f>
        <v/>
      </c>
      <c r="G48" s="21" t="n"/>
      <c r="H48" s="21" t="n"/>
    </row>
    <row r="49">
      <c r="A49" s="26" t="n"/>
      <c r="B49" s="21" t="n"/>
      <c r="C49" s="22" t="n"/>
      <c r="D49" s="23">
        <f>IFERROR(IF(B49="","",VLOOKUP(B49,'Setup - Materials'!$A$5:$D$304,2,0)),"")</f>
        <v/>
      </c>
      <c r="E49" s="22" t="n"/>
      <c r="F49" s="23">
        <f>IF(OR(C49="",E49=""),"",C49*E49)</f>
        <v/>
      </c>
      <c r="G49" s="21" t="n"/>
      <c r="H49" s="21" t="n"/>
    </row>
    <row r="50">
      <c r="A50" s="26" t="n"/>
      <c r="B50" s="21" t="n"/>
      <c r="C50" s="22" t="n"/>
      <c r="D50" s="23">
        <f>IFERROR(IF(B50="","",VLOOKUP(B50,'Setup - Materials'!$A$5:$D$304,2,0)),"")</f>
        <v/>
      </c>
      <c r="E50" s="22" t="n"/>
      <c r="F50" s="23">
        <f>IF(OR(C50="",E50=""),"",C50*E50)</f>
        <v/>
      </c>
      <c r="G50" s="21" t="n"/>
      <c r="H50" s="21" t="n"/>
    </row>
    <row r="51">
      <c r="A51" s="26" t="n"/>
      <c r="B51" s="21" t="n"/>
      <c r="C51" s="22" t="n"/>
      <c r="D51" s="23">
        <f>IFERROR(IF(B51="","",VLOOKUP(B51,'Setup - Materials'!$A$5:$D$304,2,0)),"")</f>
        <v/>
      </c>
      <c r="E51" s="22" t="n"/>
      <c r="F51" s="23">
        <f>IF(OR(C51="",E51=""),"",C51*E51)</f>
        <v/>
      </c>
      <c r="G51" s="21" t="n"/>
      <c r="H51" s="21" t="n"/>
    </row>
    <row r="52">
      <c r="A52" s="26" t="n"/>
      <c r="B52" s="21" t="n"/>
      <c r="C52" s="22" t="n"/>
      <c r="D52" s="23">
        <f>IFERROR(IF(B52="","",VLOOKUP(B52,'Setup - Materials'!$A$5:$D$304,2,0)),"")</f>
        <v/>
      </c>
      <c r="E52" s="22" t="n"/>
      <c r="F52" s="23">
        <f>IF(OR(C52="",E52=""),"",C52*E52)</f>
        <v/>
      </c>
      <c r="G52" s="21" t="n"/>
      <c r="H52" s="21" t="n"/>
    </row>
    <row r="53">
      <c r="A53" s="26" t="n"/>
      <c r="B53" s="21" t="n"/>
      <c r="C53" s="22" t="n"/>
      <c r="D53" s="23">
        <f>IFERROR(IF(B53="","",VLOOKUP(B53,'Setup - Materials'!$A$5:$D$304,2,0)),"")</f>
        <v/>
      </c>
      <c r="E53" s="22" t="n"/>
      <c r="F53" s="23">
        <f>IF(OR(C53="",E53=""),"",C53*E53)</f>
        <v/>
      </c>
      <c r="G53" s="21" t="n"/>
      <c r="H53" s="21" t="n"/>
    </row>
    <row r="54">
      <c r="A54" s="26" t="n"/>
      <c r="B54" s="21" t="n"/>
      <c r="C54" s="22" t="n"/>
      <c r="D54" s="23">
        <f>IFERROR(IF(B54="","",VLOOKUP(B54,'Setup - Materials'!$A$5:$D$304,2,0)),"")</f>
        <v/>
      </c>
      <c r="E54" s="22" t="n"/>
      <c r="F54" s="23">
        <f>IF(OR(C54="",E54=""),"",C54*E54)</f>
        <v/>
      </c>
      <c r="G54" s="21" t="n"/>
      <c r="H54" s="21" t="n"/>
    </row>
    <row r="55">
      <c r="A55" s="26" t="n"/>
      <c r="B55" s="21" t="n"/>
      <c r="C55" s="22" t="n"/>
      <c r="D55" s="23">
        <f>IFERROR(IF(B55="","",VLOOKUP(B55,'Setup - Materials'!$A$5:$D$304,2,0)),"")</f>
        <v/>
      </c>
      <c r="E55" s="22" t="n"/>
      <c r="F55" s="23">
        <f>IF(OR(C55="",E55=""),"",C55*E55)</f>
        <v/>
      </c>
      <c r="G55" s="21" t="n"/>
      <c r="H55" s="21" t="n"/>
    </row>
    <row r="56">
      <c r="A56" s="26" t="n"/>
      <c r="B56" s="21" t="n"/>
      <c r="C56" s="22" t="n"/>
      <c r="D56" s="23">
        <f>IFERROR(IF(B56="","",VLOOKUP(B56,'Setup - Materials'!$A$5:$D$304,2,0)),"")</f>
        <v/>
      </c>
      <c r="E56" s="22" t="n"/>
      <c r="F56" s="23">
        <f>IF(OR(C56="",E56=""),"",C56*E56)</f>
        <v/>
      </c>
      <c r="G56" s="21" t="n"/>
      <c r="H56" s="21" t="n"/>
    </row>
    <row r="57">
      <c r="A57" s="26" t="n"/>
      <c r="B57" s="21" t="n"/>
      <c r="C57" s="22" t="n"/>
      <c r="D57" s="23">
        <f>IFERROR(IF(B57="","",VLOOKUP(B57,'Setup - Materials'!$A$5:$D$304,2,0)),"")</f>
        <v/>
      </c>
      <c r="E57" s="22" t="n"/>
      <c r="F57" s="23">
        <f>IF(OR(C57="",E57=""),"",C57*E57)</f>
        <v/>
      </c>
      <c r="G57" s="21" t="n"/>
      <c r="H57" s="21" t="n"/>
    </row>
    <row r="58">
      <c r="A58" s="26" t="n"/>
      <c r="B58" s="21" t="n"/>
      <c r="C58" s="22" t="n"/>
      <c r="D58" s="23">
        <f>IFERROR(IF(B58="","",VLOOKUP(B58,'Setup - Materials'!$A$5:$D$304,2,0)),"")</f>
        <v/>
      </c>
      <c r="E58" s="22" t="n"/>
      <c r="F58" s="23">
        <f>IF(OR(C58="",E58=""),"",C58*E58)</f>
        <v/>
      </c>
      <c r="G58" s="21" t="n"/>
      <c r="H58" s="21" t="n"/>
    </row>
    <row r="59">
      <c r="A59" s="26" t="n"/>
      <c r="B59" s="21" t="n"/>
      <c r="C59" s="22" t="n"/>
      <c r="D59" s="23">
        <f>IFERROR(IF(B59="","",VLOOKUP(B59,'Setup - Materials'!$A$5:$D$304,2,0)),"")</f>
        <v/>
      </c>
      <c r="E59" s="22" t="n"/>
      <c r="F59" s="23">
        <f>IF(OR(C59="",E59=""),"",C59*E59)</f>
        <v/>
      </c>
      <c r="G59" s="21" t="n"/>
      <c r="H59" s="21" t="n"/>
    </row>
    <row r="60">
      <c r="A60" s="26" t="n"/>
      <c r="B60" s="21" t="n"/>
      <c r="C60" s="22" t="n"/>
      <c r="D60" s="23">
        <f>IFERROR(IF(B60="","",VLOOKUP(B60,'Setup - Materials'!$A$5:$D$304,2,0)),"")</f>
        <v/>
      </c>
      <c r="E60" s="22" t="n"/>
      <c r="F60" s="23">
        <f>IF(OR(C60="",E60=""),"",C60*E60)</f>
        <v/>
      </c>
      <c r="G60" s="21" t="n"/>
      <c r="H60" s="21" t="n"/>
    </row>
    <row r="61">
      <c r="A61" s="26" t="n"/>
      <c r="B61" s="21" t="n"/>
      <c r="C61" s="22" t="n"/>
      <c r="D61" s="23">
        <f>IFERROR(IF(B61="","",VLOOKUP(B61,'Setup - Materials'!$A$5:$D$304,2,0)),"")</f>
        <v/>
      </c>
      <c r="E61" s="22" t="n"/>
      <c r="F61" s="23">
        <f>IF(OR(C61="",E61=""),"",C61*E61)</f>
        <v/>
      </c>
      <c r="G61" s="21" t="n"/>
      <c r="H61" s="21" t="n"/>
    </row>
    <row r="62">
      <c r="A62" s="26" t="n"/>
      <c r="B62" s="21" t="n"/>
      <c r="C62" s="22" t="n"/>
      <c r="D62" s="23">
        <f>IFERROR(IF(B62="","",VLOOKUP(B62,'Setup - Materials'!$A$5:$D$304,2,0)),"")</f>
        <v/>
      </c>
      <c r="E62" s="22" t="n"/>
      <c r="F62" s="23">
        <f>IF(OR(C62="",E62=""),"",C62*E62)</f>
        <v/>
      </c>
      <c r="G62" s="21" t="n"/>
      <c r="H62" s="21" t="n"/>
    </row>
    <row r="63">
      <c r="A63" s="26" t="n"/>
      <c r="B63" s="21" t="n"/>
      <c r="C63" s="22" t="n"/>
      <c r="D63" s="23">
        <f>IFERROR(IF(B63="","",VLOOKUP(B63,'Setup - Materials'!$A$5:$D$304,2,0)),"")</f>
        <v/>
      </c>
      <c r="E63" s="22" t="n"/>
      <c r="F63" s="23">
        <f>IF(OR(C63="",E63=""),"",C63*E63)</f>
        <v/>
      </c>
      <c r="G63" s="21" t="n"/>
      <c r="H63" s="21" t="n"/>
    </row>
    <row r="64">
      <c r="A64" s="26" t="n"/>
      <c r="B64" s="21" t="n"/>
      <c r="C64" s="22" t="n"/>
      <c r="D64" s="23">
        <f>IFERROR(IF(B64="","",VLOOKUP(B64,'Setup - Materials'!$A$5:$D$304,2,0)),"")</f>
        <v/>
      </c>
      <c r="E64" s="22" t="n"/>
      <c r="F64" s="23">
        <f>IF(OR(C64="",E64=""),"",C64*E64)</f>
        <v/>
      </c>
      <c r="G64" s="21" t="n"/>
      <c r="H64" s="21" t="n"/>
    </row>
    <row r="65">
      <c r="A65" s="26" t="n"/>
      <c r="B65" s="21" t="n"/>
      <c r="C65" s="22" t="n"/>
      <c r="D65" s="23">
        <f>IFERROR(IF(B65="","",VLOOKUP(B65,'Setup - Materials'!$A$5:$D$304,2,0)),"")</f>
        <v/>
      </c>
      <c r="E65" s="22" t="n"/>
      <c r="F65" s="23">
        <f>IF(OR(C65="",E65=""),"",C65*E65)</f>
        <v/>
      </c>
      <c r="G65" s="21" t="n"/>
      <c r="H65" s="21" t="n"/>
    </row>
    <row r="66">
      <c r="A66" s="26" t="n"/>
      <c r="B66" s="21" t="n"/>
      <c r="C66" s="22" t="n"/>
      <c r="D66" s="23">
        <f>IFERROR(IF(B66="","",VLOOKUP(B66,'Setup - Materials'!$A$5:$D$304,2,0)),"")</f>
        <v/>
      </c>
      <c r="E66" s="22" t="n"/>
      <c r="F66" s="23">
        <f>IF(OR(C66="",E66=""),"",C66*E66)</f>
        <v/>
      </c>
      <c r="G66" s="21" t="n"/>
      <c r="H66" s="21" t="n"/>
    </row>
    <row r="67">
      <c r="A67" s="26" t="n"/>
      <c r="B67" s="21" t="n"/>
      <c r="C67" s="22" t="n"/>
      <c r="D67" s="23">
        <f>IFERROR(IF(B67="","",VLOOKUP(B67,'Setup - Materials'!$A$5:$D$304,2,0)),"")</f>
        <v/>
      </c>
      <c r="E67" s="22" t="n"/>
      <c r="F67" s="23">
        <f>IF(OR(C67="",E67=""),"",C67*E67)</f>
        <v/>
      </c>
      <c r="G67" s="21" t="n"/>
      <c r="H67" s="21" t="n"/>
    </row>
    <row r="68">
      <c r="A68" s="26" t="n"/>
      <c r="B68" s="21" t="n"/>
      <c r="C68" s="22" t="n"/>
      <c r="D68" s="23">
        <f>IFERROR(IF(B68="","",VLOOKUP(B68,'Setup - Materials'!$A$5:$D$304,2,0)),"")</f>
        <v/>
      </c>
      <c r="E68" s="22" t="n"/>
      <c r="F68" s="23">
        <f>IF(OR(C68="",E68=""),"",C68*E68)</f>
        <v/>
      </c>
      <c r="G68" s="21" t="n"/>
      <c r="H68" s="21" t="n"/>
    </row>
    <row r="69">
      <c r="A69" s="26" t="n"/>
      <c r="B69" s="21" t="n"/>
      <c r="C69" s="22" t="n"/>
      <c r="D69" s="23">
        <f>IFERROR(IF(B69="","",VLOOKUP(B69,'Setup - Materials'!$A$5:$D$304,2,0)),"")</f>
        <v/>
      </c>
      <c r="E69" s="22" t="n"/>
      <c r="F69" s="23">
        <f>IF(OR(C69="",E69=""),"",C69*E69)</f>
        <v/>
      </c>
      <c r="G69" s="21" t="n"/>
      <c r="H69" s="21" t="n"/>
    </row>
    <row r="70">
      <c r="A70" s="26" t="n"/>
      <c r="B70" s="21" t="n"/>
      <c r="C70" s="22" t="n"/>
      <c r="D70" s="23">
        <f>IFERROR(IF(B70="","",VLOOKUP(B70,'Setup - Materials'!$A$5:$D$304,2,0)),"")</f>
        <v/>
      </c>
      <c r="E70" s="22" t="n"/>
      <c r="F70" s="23">
        <f>IF(OR(C70="",E70=""),"",C70*E70)</f>
        <v/>
      </c>
      <c r="G70" s="21" t="n"/>
      <c r="H70" s="21" t="n"/>
    </row>
    <row r="71">
      <c r="A71" s="26" t="n"/>
      <c r="B71" s="21" t="n"/>
      <c r="C71" s="22" t="n"/>
      <c r="D71" s="23">
        <f>IFERROR(IF(B71="","",VLOOKUP(B71,'Setup - Materials'!$A$5:$D$304,2,0)),"")</f>
        <v/>
      </c>
      <c r="E71" s="22" t="n"/>
      <c r="F71" s="23">
        <f>IF(OR(C71="",E71=""),"",C71*E71)</f>
        <v/>
      </c>
      <c r="G71" s="21" t="n"/>
      <c r="H71" s="21" t="n"/>
    </row>
    <row r="72">
      <c r="A72" s="26" t="n"/>
      <c r="B72" s="21" t="n"/>
      <c r="C72" s="22" t="n"/>
      <c r="D72" s="23">
        <f>IFERROR(IF(B72="","",VLOOKUP(B72,'Setup - Materials'!$A$5:$D$304,2,0)),"")</f>
        <v/>
      </c>
      <c r="E72" s="22" t="n"/>
      <c r="F72" s="23">
        <f>IF(OR(C72="",E72=""),"",C72*E72)</f>
        <v/>
      </c>
      <c r="G72" s="21" t="n"/>
      <c r="H72" s="21" t="n"/>
    </row>
    <row r="73">
      <c r="A73" s="26" t="n"/>
      <c r="B73" s="21" t="n"/>
      <c r="C73" s="22" t="n"/>
      <c r="D73" s="23">
        <f>IFERROR(IF(B73="","",VLOOKUP(B73,'Setup - Materials'!$A$5:$D$304,2,0)),"")</f>
        <v/>
      </c>
      <c r="E73" s="22" t="n"/>
      <c r="F73" s="23">
        <f>IF(OR(C73="",E73=""),"",C73*E73)</f>
        <v/>
      </c>
      <c r="G73" s="21" t="n"/>
      <c r="H73" s="21" t="n"/>
    </row>
    <row r="74">
      <c r="A74" s="26" t="n"/>
      <c r="B74" s="21" t="n"/>
      <c r="C74" s="22" t="n"/>
      <c r="D74" s="23">
        <f>IFERROR(IF(B74="","",VLOOKUP(B74,'Setup - Materials'!$A$5:$D$304,2,0)),"")</f>
        <v/>
      </c>
      <c r="E74" s="22" t="n"/>
      <c r="F74" s="23">
        <f>IF(OR(C74="",E74=""),"",C74*E74)</f>
        <v/>
      </c>
      <c r="G74" s="21" t="n"/>
      <c r="H74" s="21" t="n"/>
    </row>
    <row r="75">
      <c r="A75" s="26" t="n"/>
      <c r="B75" s="21" t="n"/>
      <c r="C75" s="22" t="n"/>
      <c r="D75" s="23">
        <f>IFERROR(IF(B75="","",VLOOKUP(B75,'Setup - Materials'!$A$5:$D$304,2,0)),"")</f>
        <v/>
      </c>
      <c r="E75" s="22" t="n"/>
      <c r="F75" s="23">
        <f>IF(OR(C75="",E75=""),"",C75*E75)</f>
        <v/>
      </c>
      <c r="G75" s="21" t="n"/>
      <c r="H75" s="21" t="n"/>
    </row>
    <row r="76">
      <c r="A76" s="26" t="n"/>
      <c r="B76" s="21" t="n"/>
      <c r="C76" s="22" t="n"/>
      <c r="D76" s="23">
        <f>IFERROR(IF(B76="","",VLOOKUP(B76,'Setup - Materials'!$A$5:$D$304,2,0)),"")</f>
        <v/>
      </c>
      <c r="E76" s="22" t="n"/>
      <c r="F76" s="23">
        <f>IF(OR(C76="",E76=""),"",C76*E76)</f>
        <v/>
      </c>
      <c r="G76" s="21" t="n"/>
      <c r="H76" s="21" t="n"/>
    </row>
    <row r="77">
      <c r="A77" s="26" t="n"/>
      <c r="B77" s="21" t="n"/>
      <c r="C77" s="22" t="n"/>
      <c r="D77" s="23">
        <f>IFERROR(IF(B77="","",VLOOKUP(B77,'Setup - Materials'!$A$5:$D$304,2,0)),"")</f>
        <v/>
      </c>
      <c r="E77" s="22" t="n"/>
      <c r="F77" s="23">
        <f>IF(OR(C77="",E77=""),"",C77*E77)</f>
        <v/>
      </c>
      <c r="G77" s="21" t="n"/>
      <c r="H77" s="21" t="n"/>
    </row>
    <row r="78">
      <c r="A78" s="26" t="n"/>
      <c r="B78" s="21" t="n"/>
      <c r="C78" s="22" t="n"/>
      <c r="D78" s="23">
        <f>IFERROR(IF(B78="","",VLOOKUP(B78,'Setup - Materials'!$A$5:$D$304,2,0)),"")</f>
        <v/>
      </c>
      <c r="E78" s="22" t="n"/>
      <c r="F78" s="23">
        <f>IF(OR(C78="",E78=""),"",C78*E78)</f>
        <v/>
      </c>
      <c r="G78" s="21" t="n"/>
      <c r="H78" s="21" t="n"/>
    </row>
    <row r="79">
      <c r="A79" s="26" t="n"/>
      <c r="B79" s="21" t="n"/>
      <c r="C79" s="22" t="n"/>
      <c r="D79" s="23">
        <f>IFERROR(IF(B79="","",VLOOKUP(B79,'Setup - Materials'!$A$5:$D$304,2,0)),"")</f>
        <v/>
      </c>
      <c r="E79" s="22" t="n"/>
      <c r="F79" s="23">
        <f>IF(OR(C79="",E79=""),"",C79*E79)</f>
        <v/>
      </c>
      <c r="G79" s="21" t="n"/>
      <c r="H79" s="21" t="n"/>
    </row>
    <row r="80">
      <c r="A80" s="26" t="n"/>
      <c r="B80" s="21" t="n"/>
      <c r="C80" s="22" t="n"/>
      <c r="D80" s="23">
        <f>IFERROR(IF(B80="","",VLOOKUP(B80,'Setup - Materials'!$A$5:$D$304,2,0)),"")</f>
        <v/>
      </c>
      <c r="E80" s="22" t="n"/>
      <c r="F80" s="23">
        <f>IF(OR(C80="",E80=""),"",C80*E80)</f>
        <v/>
      </c>
      <c r="G80" s="21" t="n"/>
      <c r="H80" s="21" t="n"/>
    </row>
    <row r="81">
      <c r="A81" s="26" t="n"/>
      <c r="B81" s="21" t="n"/>
      <c r="C81" s="22" t="n"/>
      <c r="D81" s="23">
        <f>IFERROR(IF(B81="","",VLOOKUP(B81,'Setup - Materials'!$A$5:$D$304,2,0)),"")</f>
        <v/>
      </c>
      <c r="E81" s="22" t="n"/>
      <c r="F81" s="23">
        <f>IF(OR(C81="",E81=""),"",C81*E81)</f>
        <v/>
      </c>
      <c r="G81" s="21" t="n"/>
      <c r="H81" s="21" t="n"/>
    </row>
    <row r="82">
      <c r="A82" s="26" t="n"/>
      <c r="B82" s="21" t="n"/>
      <c r="C82" s="22" t="n"/>
      <c r="D82" s="23">
        <f>IFERROR(IF(B82="","",VLOOKUP(B82,'Setup - Materials'!$A$5:$D$304,2,0)),"")</f>
        <v/>
      </c>
      <c r="E82" s="22" t="n"/>
      <c r="F82" s="23">
        <f>IF(OR(C82="",E82=""),"",C82*E82)</f>
        <v/>
      </c>
      <c r="G82" s="21" t="n"/>
      <c r="H82" s="21" t="n"/>
    </row>
    <row r="83">
      <c r="A83" s="26" t="n"/>
      <c r="B83" s="21" t="n"/>
      <c r="C83" s="22" t="n"/>
      <c r="D83" s="23">
        <f>IFERROR(IF(B83="","",VLOOKUP(B83,'Setup - Materials'!$A$5:$D$304,2,0)),"")</f>
        <v/>
      </c>
      <c r="E83" s="22" t="n"/>
      <c r="F83" s="23">
        <f>IF(OR(C83="",E83=""),"",C83*E83)</f>
        <v/>
      </c>
      <c r="G83" s="21" t="n"/>
      <c r="H83" s="21" t="n"/>
    </row>
    <row r="84">
      <c r="A84" s="26" t="n"/>
      <c r="B84" s="21" t="n"/>
      <c r="C84" s="22" t="n"/>
      <c r="D84" s="23">
        <f>IFERROR(IF(B84="","",VLOOKUP(B84,'Setup - Materials'!$A$5:$D$304,2,0)),"")</f>
        <v/>
      </c>
      <c r="E84" s="22" t="n"/>
      <c r="F84" s="23">
        <f>IF(OR(C84="",E84=""),"",C84*E84)</f>
        <v/>
      </c>
      <c r="G84" s="21" t="n"/>
      <c r="H84" s="21" t="n"/>
    </row>
    <row r="85">
      <c r="A85" s="26" t="n"/>
      <c r="B85" s="21" t="n"/>
      <c r="C85" s="22" t="n"/>
      <c r="D85" s="23">
        <f>IFERROR(IF(B85="","",VLOOKUP(B85,'Setup - Materials'!$A$5:$D$304,2,0)),"")</f>
        <v/>
      </c>
      <c r="E85" s="22" t="n"/>
      <c r="F85" s="23">
        <f>IF(OR(C85="",E85=""),"",C85*E85)</f>
        <v/>
      </c>
      <c r="G85" s="21" t="n"/>
      <c r="H85" s="21" t="n"/>
    </row>
    <row r="86">
      <c r="A86" s="26" t="n"/>
      <c r="B86" s="21" t="n"/>
      <c r="C86" s="22" t="n"/>
      <c r="D86" s="23">
        <f>IFERROR(IF(B86="","",VLOOKUP(B86,'Setup - Materials'!$A$5:$D$304,2,0)),"")</f>
        <v/>
      </c>
      <c r="E86" s="22" t="n"/>
      <c r="F86" s="23">
        <f>IF(OR(C86="",E86=""),"",C86*E86)</f>
        <v/>
      </c>
      <c r="G86" s="21" t="n"/>
      <c r="H86" s="21" t="n"/>
    </row>
    <row r="87">
      <c r="A87" s="26" t="n"/>
      <c r="B87" s="21" t="n"/>
      <c r="C87" s="22" t="n"/>
      <c r="D87" s="23">
        <f>IFERROR(IF(B87="","",VLOOKUP(B87,'Setup - Materials'!$A$5:$D$304,2,0)),"")</f>
        <v/>
      </c>
      <c r="E87" s="22" t="n"/>
      <c r="F87" s="23">
        <f>IF(OR(C87="",E87=""),"",C87*E87)</f>
        <v/>
      </c>
      <c r="G87" s="21" t="n"/>
      <c r="H87" s="21" t="n"/>
    </row>
    <row r="88">
      <c r="A88" s="26" t="n"/>
      <c r="B88" s="21" t="n"/>
      <c r="C88" s="22" t="n"/>
      <c r="D88" s="23">
        <f>IFERROR(IF(B88="","",VLOOKUP(B88,'Setup - Materials'!$A$5:$D$304,2,0)),"")</f>
        <v/>
      </c>
      <c r="E88" s="22" t="n"/>
      <c r="F88" s="23">
        <f>IF(OR(C88="",E88=""),"",C88*E88)</f>
        <v/>
      </c>
      <c r="G88" s="21" t="n"/>
      <c r="H88" s="21" t="n"/>
    </row>
    <row r="89">
      <c r="A89" s="26" t="n"/>
      <c r="B89" s="21" t="n"/>
      <c r="C89" s="22" t="n"/>
      <c r="D89" s="23">
        <f>IFERROR(IF(B89="","",VLOOKUP(B89,'Setup - Materials'!$A$5:$D$304,2,0)),"")</f>
        <v/>
      </c>
      <c r="E89" s="22" t="n"/>
      <c r="F89" s="23">
        <f>IF(OR(C89="",E89=""),"",C89*E89)</f>
        <v/>
      </c>
      <c r="G89" s="21" t="n"/>
      <c r="H89" s="21" t="n"/>
    </row>
    <row r="90">
      <c r="A90" s="26" t="n"/>
      <c r="B90" s="21" t="n"/>
      <c r="C90" s="22" t="n"/>
      <c r="D90" s="23">
        <f>IFERROR(IF(B90="","",VLOOKUP(B90,'Setup - Materials'!$A$5:$D$304,2,0)),"")</f>
        <v/>
      </c>
      <c r="E90" s="22" t="n"/>
      <c r="F90" s="23">
        <f>IF(OR(C90="",E90=""),"",C90*E90)</f>
        <v/>
      </c>
      <c r="G90" s="21" t="n"/>
      <c r="H90" s="21" t="n"/>
    </row>
    <row r="91">
      <c r="A91" s="26" t="n"/>
      <c r="B91" s="21" t="n"/>
      <c r="C91" s="22" t="n"/>
      <c r="D91" s="23">
        <f>IFERROR(IF(B91="","",VLOOKUP(B91,'Setup - Materials'!$A$5:$D$304,2,0)),"")</f>
        <v/>
      </c>
      <c r="E91" s="22" t="n"/>
      <c r="F91" s="23">
        <f>IF(OR(C91="",E91=""),"",C91*E91)</f>
        <v/>
      </c>
      <c r="G91" s="21" t="n"/>
      <c r="H91" s="21" t="n"/>
    </row>
    <row r="92">
      <c r="A92" s="26" t="n"/>
      <c r="B92" s="21" t="n"/>
      <c r="C92" s="22" t="n"/>
      <c r="D92" s="23">
        <f>IFERROR(IF(B92="","",VLOOKUP(B92,'Setup - Materials'!$A$5:$D$304,2,0)),"")</f>
        <v/>
      </c>
      <c r="E92" s="22" t="n"/>
      <c r="F92" s="23">
        <f>IF(OR(C92="",E92=""),"",C92*E92)</f>
        <v/>
      </c>
      <c r="G92" s="21" t="n"/>
      <c r="H92" s="21" t="n"/>
    </row>
    <row r="93">
      <c r="A93" s="26" t="n"/>
      <c r="B93" s="21" t="n"/>
      <c r="C93" s="22" t="n"/>
      <c r="D93" s="23">
        <f>IFERROR(IF(B93="","",VLOOKUP(B93,'Setup - Materials'!$A$5:$D$304,2,0)),"")</f>
        <v/>
      </c>
      <c r="E93" s="22" t="n"/>
      <c r="F93" s="23">
        <f>IF(OR(C93="",E93=""),"",C93*E93)</f>
        <v/>
      </c>
      <c r="G93" s="21" t="n"/>
      <c r="H93" s="21" t="n"/>
    </row>
    <row r="94">
      <c r="A94" s="26" t="n"/>
      <c r="B94" s="21" t="n"/>
      <c r="C94" s="22" t="n"/>
      <c r="D94" s="23">
        <f>IFERROR(IF(B94="","",VLOOKUP(B94,'Setup - Materials'!$A$5:$D$304,2,0)),"")</f>
        <v/>
      </c>
      <c r="E94" s="22" t="n"/>
      <c r="F94" s="23">
        <f>IF(OR(C94="",E94=""),"",C94*E94)</f>
        <v/>
      </c>
      <c r="G94" s="21" t="n"/>
      <c r="H94" s="21" t="n"/>
    </row>
    <row r="95">
      <c r="A95" s="26" t="n"/>
      <c r="B95" s="21" t="n"/>
      <c r="C95" s="22" t="n"/>
      <c r="D95" s="23">
        <f>IFERROR(IF(B95="","",VLOOKUP(B95,'Setup - Materials'!$A$5:$D$304,2,0)),"")</f>
        <v/>
      </c>
      <c r="E95" s="22" t="n"/>
      <c r="F95" s="23">
        <f>IF(OR(C95="",E95=""),"",C95*E95)</f>
        <v/>
      </c>
      <c r="G95" s="21" t="n"/>
      <c r="H95" s="21" t="n"/>
    </row>
    <row r="96">
      <c r="A96" s="26" t="n"/>
      <c r="B96" s="21" t="n"/>
      <c r="C96" s="22" t="n"/>
      <c r="D96" s="23">
        <f>IFERROR(IF(B96="","",VLOOKUP(B96,'Setup - Materials'!$A$5:$D$304,2,0)),"")</f>
        <v/>
      </c>
      <c r="E96" s="22" t="n"/>
      <c r="F96" s="23">
        <f>IF(OR(C96="",E96=""),"",C96*E96)</f>
        <v/>
      </c>
      <c r="G96" s="21" t="n"/>
      <c r="H96" s="21" t="n"/>
    </row>
    <row r="97">
      <c r="A97" s="26" t="n"/>
      <c r="B97" s="21" t="n"/>
      <c r="C97" s="22" t="n"/>
      <c r="D97" s="23">
        <f>IFERROR(IF(B97="","",VLOOKUP(B97,'Setup - Materials'!$A$5:$D$304,2,0)),"")</f>
        <v/>
      </c>
      <c r="E97" s="22" t="n"/>
      <c r="F97" s="23">
        <f>IF(OR(C97="",E97=""),"",C97*E97)</f>
        <v/>
      </c>
      <c r="G97" s="21" t="n"/>
      <c r="H97" s="21" t="n"/>
    </row>
    <row r="98">
      <c r="A98" s="26" t="n"/>
      <c r="B98" s="21" t="n"/>
      <c r="C98" s="22" t="n"/>
      <c r="D98" s="23">
        <f>IFERROR(IF(B98="","",VLOOKUP(B98,'Setup - Materials'!$A$5:$D$304,2,0)),"")</f>
        <v/>
      </c>
      <c r="E98" s="22" t="n"/>
      <c r="F98" s="23">
        <f>IF(OR(C98="",E98=""),"",C98*E98)</f>
        <v/>
      </c>
      <c r="G98" s="21" t="n"/>
      <c r="H98" s="21" t="n"/>
    </row>
    <row r="99">
      <c r="A99" s="26" t="n"/>
      <c r="B99" s="21" t="n"/>
      <c r="C99" s="22" t="n"/>
      <c r="D99" s="23">
        <f>IFERROR(IF(B99="","",VLOOKUP(B99,'Setup - Materials'!$A$5:$D$304,2,0)),"")</f>
        <v/>
      </c>
      <c r="E99" s="22" t="n"/>
      <c r="F99" s="23">
        <f>IF(OR(C99="",E99=""),"",C99*E99)</f>
        <v/>
      </c>
      <c r="G99" s="21" t="n"/>
      <c r="H99" s="21" t="n"/>
    </row>
    <row r="100">
      <c r="A100" s="26" t="n"/>
      <c r="B100" s="21" t="n"/>
      <c r="C100" s="22" t="n"/>
      <c r="D100" s="23">
        <f>IFERROR(IF(B100="","",VLOOKUP(B100,'Setup - Materials'!$A$5:$D$304,2,0)),"")</f>
        <v/>
      </c>
      <c r="E100" s="22" t="n"/>
      <c r="F100" s="23">
        <f>IF(OR(C100="",E100=""),"",C100*E100)</f>
        <v/>
      </c>
      <c r="G100" s="21" t="n"/>
      <c r="H100" s="21" t="n"/>
    </row>
    <row r="101">
      <c r="A101" s="26" t="n"/>
      <c r="B101" s="21" t="n"/>
      <c r="C101" s="22" t="n"/>
      <c r="D101" s="23">
        <f>IFERROR(IF(B101="","",VLOOKUP(B101,'Setup - Materials'!$A$5:$D$304,2,0)),"")</f>
        <v/>
      </c>
      <c r="E101" s="22" t="n"/>
      <c r="F101" s="23">
        <f>IF(OR(C101="",E101=""),"",C101*E101)</f>
        <v/>
      </c>
      <c r="G101" s="21" t="n"/>
      <c r="H101" s="21" t="n"/>
    </row>
    <row r="102">
      <c r="A102" s="26" t="n"/>
      <c r="B102" s="21" t="n"/>
      <c r="C102" s="22" t="n"/>
      <c r="D102" s="23">
        <f>IFERROR(IF(B102="","",VLOOKUP(B102,'Setup - Materials'!$A$5:$D$304,2,0)),"")</f>
        <v/>
      </c>
      <c r="E102" s="22" t="n"/>
      <c r="F102" s="23">
        <f>IF(OR(C102="",E102=""),"",C102*E102)</f>
        <v/>
      </c>
      <c r="G102" s="21" t="n"/>
      <c r="H102" s="21" t="n"/>
    </row>
    <row r="103">
      <c r="A103" s="26" t="n"/>
      <c r="B103" s="21" t="n"/>
      <c r="C103" s="22" t="n"/>
      <c r="D103" s="23">
        <f>IFERROR(IF(B103="","",VLOOKUP(B103,'Setup - Materials'!$A$5:$D$304,2,0)),"")</f>
        <v/>
      </c>
      <c r="E103" s="22" t="n"/>
      <c r="F103" s="23">
        <f>IF(OR(C103="",E103=""),"",C103*E103)</f>
        <v/>
      </c>
      <c r="G103" s="21" t="n"/>
      <c r="H103" s="21" t="n"/>
    </row>
    <row r="104">
      <c r="A104" s="26" t="n"/>
      <c r="B104" s="21" t="n"/>
      <c r="C104" s="22" t="n"/>
      <c r="D104" s="23">
        <f>IFERROR(IF(B104="","",VLOOKUP(B104,'Setup - Materials'!$A$5:$D$304,2,0)),"")</f>
        <v/>
      </c>
      <c r="E104" s="22" t="n"/>
      <c r="F104" s="23">
        <f>IF(OR(C104="",E104=""),"",C104*E104)</f>
        <v/>
      </c>
      <c r="G104" s="21" t="n"/>
      <c r="H104" s="21" t="n"/>
    </row>
    <row r="105">
      <c r="A105" s="26" t="n"/>
      <c r="B105" s="21" t="n"/>
      <c r="C105" s="22" t="n"/>
      <c r="D105" s="23">
        <f>IFERROR(IF(B105="","",VLOOKUP(B105,'Setup - Materials'!$A$5:$D$304,2,0)),"")</f>
        <v/>
      </c>
      <c r="E105" s="22" t="n"/>
      <c r="F105" s="23">
        <f>IF(OR(C105="",E105=""),"",C105*E105)</f>
        <v/>
      </c>
      <c r="G105" s="21" t="n"/>
      <c r="H105" s="21" t="n"/>
    </row>
    <row r="106">
      <c r="A106" s="26" t="n"/>
      <c r="B106" s="21" t="n"/>
      <c r="C106" s="22" t="n"/>
      <c r="D106" s="23">
        <f>IFERROR(IF(B106="","",VLOOKUP(B106,'Setup - Materials'!$A$5:$D$304,2,0)),"")</f>
        <v/>
      </c>
      <c r="E106" s="22" t="n"/>
      <c r="F106" s="23">
        <f>IF(OR(C106="",E106=""),"",C106*E106)</f>
        <v/>
      </c>
      <c r="G106" s="21" t="n"/>
      <c r="H106" s="21" t="n"/>
    </row>
    <row r="107">
      <c r="A107" s="26" t="n"/>
      <c r="B107" s="21" t="n"/>
      <c r="C107" s="22" t="n"/>
      <c r="D107" s="23">
        <f>IFERROR(IF(B107="","",VLOOKUP(B107,'Setup - Materials'!$A$5:$D$304,2,0)),"")</f>
        <v/>
      </c>
      <c r="E107" s="22" t="n"/>
      <c r="F107" s="23">
        <f>IF(OR(C107="",E107=""),"",C107*E107)</f>
        <v/>
      </c>
      <c r="G107" s="21" t="n"/>
      <c r="H107" s="21" t="n"/>
    </row>
    <row r="108">
      <c r="A108" s="26" t="n"/>
      <c r="B108" s="21" t="n"/>
      <c r="C108" s="22" t="n"/>
      <c r="D108" s="23">
        <f>IFERROR(IF(B108="","",VLOOKUP(B108,'Setup - Materials'!$A$5:$D$304,2,0)),"")</f>
        <v/>
      </c>
      <c r="E108" s="22" t="n"/>
      <c r="F108" s="23">
        <f>IF(OR(C108="",E108=""),"",C108*E108)</f>
        <v/>
      </c>
      <c r="G108" s="21" t="n"/>
      <c r="H108" s="21" t="n"/>
    </row>
    <row r="109">
      <c r="A109" s="26" t="n"/>
      <c r="B109" s="21" t="n"/>
      <c r="C109" s="22" t="n"/>
      <c r="D109" s="23">
        <f>IFERROR(IF(B109="","",VLOOKUP(B109,'Setup - Materials'!$A$5:$D$304,2,0)),"")</f>
        <v/>
      </c>
      <c r="E109" s="22" t="n"/>
      <c r="F109" s="23">
        <f>IF(OR(C109="",E109=""),"",C109*E109)</f>
        <v/>
      </c>
      <c r="G109" s="21" t="n"/>
      <c r="H109" s="21" t="n"/>
    </row>
    <row r="110">
      <c r="A110" s="26" t="n"/>
      <c r="B110" s="21" t="n"/>
      <c r="C110" s="22" t="n"/>
      <c r="D110" s="23">
        <f>IFERROR(IF(B110="","",VLOOKUP(B110,'Setup - Materials'!$A$5:$D$304,2,0)),"")</f>
        <v/>
      </c>
      <c r="E110" s="22" t="n"/>
      <c r="F110" s="23">
        <f>IF(OR(C110="",E110=""),"",C110*E110)</f>
        <v/>
      </c>
      <c r="G110" s="21" t="n"/>
      <c r="H110" s="21" t="n"/>
    </row>
    <row r="111">
      <c r="A111" s="26" t="n"/>
      <c r="B111" s="21" t="n"/>
      <c r="C111" s="22" t="n"/>
      <c r="D111" s="23">
        <f>IFERROR(IF(B111="","",VLOOKUP(B111,'Setup - Materials'!$A$5:$D$304,2,0)),"")</f>
        <v/>
      </c>
      <c r="E111" s="22" t="n"/>
      <c r="F111" s="23">
        <f>IF(OR(C111="",E111=""),"",C111*E111)</f>
        <v/>
      </c>
      <c r="G111" s="21" t="n"/>
      <c r="H111" s="21" t="n"/>
    </row>
    <row r="112">
      <c r="A112" s="26" t="n"/>
      <c r="B112" s="21" t="n"/>
      <c r="C112" s="22" t="n"/>
      <c r="D112" s="23">
        <f>IFERROR(IF(B112="","",VLOOKUP(B112,'Setup - Materials'!$A$5:$D$304,2,0)),"")</f>
        <v/>
      </c>
      <c r="E112" s="22" t="n"/>
      <c r="F112" s="23">
        <f>IF(OR(C112="",E112=""),"",C112*E112)</f>
        <v/>
      </c>
      <c r="G112" s="21" t="n"/>
      <c r="H112" s="21" t="n"/>
    </row>
    <row r="113">
      <c r="A113" s="26" t="n"/>
      <c r="B113" s="21" t="n"/>
      <c r="C113" s="22" t="n"/>
      <c r="D113" s="23">
        <f>IFERROR(IF(B113="","",VLOOKUP(B113,'Setup - Materials'!$A$5:$D$304,2,0)),"")</f>
        <v/>
      </c>
      <c r="E113" s="22" t="n"/>
      <c r="F113" s="23">
        <f>IF(OR(C113="",E113=""),"",C113*E113)</f>
        <v/>
      </c>
      <c r="G113" s="21" t="n"/>
      <c r="H113" s="21" t="n"/>
    </row>
    <row r="114">
      <c r="A114" s="26" t="n"/>
      <c r="B114" s="21" t="n"/>
      <c r="C114" s="22" t="n"/>
      <c r="D114" s="23">
        <f>IFERROR(IF(B114="","",VLOOKUP(B114,'Setup - Materials'!$A$5:$D$304,2,0)),"")</f>
        <v/>
      </c>
      <c r="E114" s="22" t="n"/>
      <c r="F114" s="23">
        <f>IF(OR(C114="",E114=""),"",C114*E114)</f>
        <v/>
      </c>
      <c r="G114" s="21" t="n"/>
      <c r="H114" s="21" t="n"/>
    </row>
    <row r="115">
      <c r="A115" s="26" t="n"/>
      <c r="B115" s="21" t="n"/>
      <c r="C115" s="22" t="n"/>
      <c r="D115" s="23">
        <f>IFERROR(IF(B115="","",VLOOKUP(B115,'Setup - Materials'!$A$5:$D$304,2,0)),"")</f>
        <v/>
      </c>
      <c r="E115" s="22" t="n"/>
      <c r="F115" s="23">
        <f>IF(OR(C115="",E115=""),"",C115*E115)</f>
        <v/>
      </c>
      <c r="G115" s="21" t="n"/>
      <c r="H115" s="21" t="n"/>
    </row>
    <row r="116">
      <c r="A116" s="26" t="n"/>
      <c r="B116" s="21" t="n"/>
      <c r="C116" s="22" t="n"/>
      <c r="D116" s="23">
        <f>IFERROR(IF(B116="","",VLOOKUP(B116,'Setup - Materials'!$A$5:$D$304,2,0)),"")</f>
        <v/>
      </c>
      <c r="E116" s="22" t="n"/>
      <c r="F116" s="23">
        <f>IF(OR(C116="",E116=""),"",C116*E116)</f>
        <v/>
      </c>
      <c r="G116" s="21" t="n"/>
      <c r="H116" s="21" t="n"/>
    </row>
    <row r="117">
      <c r="A117" s="26" t="n"/>
      <c r="B117" s="21" t="n"/>
      <c r="C117" s="22" t="n"/>
      <c r="D117" s="23">
        <f>IFERROR(IF(B117="","",VLOOKUP(B117,'Setup - Materials'!$A$5:$D$304,2,0)),"")</f>
        <v/>
      </c>
      <c r="E117" s="22" t="n"/>
      <c r="F117" s="23">
        <f>IF(OR(C117="",E117=""),"",C117*E117)</f>
        <v/>
      </c>
      <c r="G117" s="21" t="n"/>
      <c r="H117" s="21" t="n"/>
    </row>
    <row r="118">
      <c r="A118" s="26" t="n"/>
      <c r="B118" s="21" t="n"/>
      <c r="C118" s="22" t="n"/>
      <c r="D118" s="23">
        <f>IFERROR(IF(B118="","",VLOOKUP(B118,'Setup - Materials'!$A$5:$D$304,2,0)),"")</f>
        <v/>
      </c>
      <c r="E118" s="22" t="n"/>
      <c r="F118" s="23">
        <f>IF(OR(C118="",E118=""),"",C118*E118)</f>
        <v/>
      </c>
      <c r="G118" s="21" t="n"/>
      <c r="H118" s="21" t="n"/>
    </row>
    <row r="119">
      <c r="A119" s="26" t="n"/>
      <c r="B119" s="21" t="n"/>
      <c r="C119" s="22" t="n"/>
      <c r="D119" s="23">
        <f>IFERROR(IF(B119="","",VLOOKUP(B119,'Setup - Materials'!$A$5:$D$304,2,0)),"")</f>
        <v/>
      </c>
      <c r="E119" s="22" t="n"/>
      <c r="F119" s="23">
        <f>IF(OR(C119="",E119=""),"",C119*E119)</f>
        <v/>
      </c>
      <c r="G119" s="21" t="n"/>
      <c r="H119" s="21" t="n"/>
    </row>
    <row r="120">
      <c r="A120" s="26" t="n"/>
      <c r="B120" s="21" t="n"/>
      <c r="C120" s="22" t="n"/>
      <c r="D120" s="23">
        <f>IFERROR(IF(B120="","",VLOOKUP(B120,'Setup - Materials'!$A$5:$D$304,2,0)),"")</f>
        <v/>
      </c>
      <c r="E120" s="22" t="n"/>
      <c r="F120" s="23">
        <f>IF(OR(C120="",E120=""),"",C120*E120)</f>
        <v/>
      </c>
      <c r="G120" s="21" t="n"/>
      <c r="H120" s="21" t="n"/>
    </row>
    <row r="121">
      <c r="A121" s="26" t="n"/>
      <c r="B121" s="21" t="n"/>
      <c r="C121" s="22" t="n"/>
      <c r="D121" s="23">
        <f>IFERROR(IF(B121="","",VLOOKUP(B121,'Setup - Materials'!$A$5:$D$304,2,0)),"")</f>
        <v/>
      </c>
      <c r="E121" s="22" t="n"/>
      <c r="F121" s="23">
        <f>IF(OR(C121="",E121=""),"",C121*E121)</f>
        <v/>
      </c>
      <c r="G121" s="21" t="n"/>
      <c r="H121" s="21" t="n"/>
    </row>
    <row r="122">
      <c r="A122" s="26" t="n"/>
      <c r="B122" s="21" t="n"/>
      <c r="C122" s="22" t="n"/>
      <c r="D122" s="23">
        <f>IFERROR(IF(B122="","",VLOOKUP(B122,'Setup - Materials'!$A$5:$D$304,2,0)),"")</f>
        <v/>
      </c>
      <c r="E122" s="22" t="n"/>
      <c r="F122" s="23">
        <f>IF(OR(C122="",E122=""),"",C122*E122)</f>
        <v/>
      </c>
      <c r="G122" s="21" t="n"/>
      <c r="H122" s="21" t="n"/>
    </row>
    <row r="123">
      <c r="A123" s="26" t="n"/>
      <c r="B123" s="21" t="n"/>
      <c r="C123" s="22" t="n"/>
      <c r="D123" s="23">
        <f>IFERROR(IF(B123="","",VLOOKUP(B123,'Setup - Materials'!$A$5:$D$304,2,0)),"")</f>
        <v/>
      </c>
      <c r="E123" s="22" t="n"/>
      <c r="F123" s="23">
        <f>IF(OR(C123="",E123=""),"",C123*E123)</f>
        <v/>
      </c>
      <c r="G123" s="21" t="n"/>
      <c r="H123" s="21" t="n"/>
    </row>
    <row r="124">
      <c r="A124" s="26" t="n"/>
      <c r="B124" s="21" t="n"/>
      <c r="C124" s="22" t="n"/>
      <c r="D124" s="23">
        <f>IFERROR(IF(B124="","",VLOOKUP(B124,'Setup - Materials'!$A$5:$D$304,2,0)),"")</f>
        <v/>
      </c>
      <c r="E124" s="22" t="n"/>
      <c r="F124" s="23">
        <f>IF(OR(C124="",E124=""),"",C124*E124)</f>
        <v/>
      </c>
      <c r="G124" s="21" t="n"/>
      <c r="H124" s="21" t="n"/>
    </row>
    <row r="125">
      <c r="A125" s="26" t="n"/>
      <c r="B125" s="21" t="n"/>
      <c r="C125" s="22" t="n"/>
      <c r="D125" s="23">
        <f>IFERROR(IF(B125="","",VLOOKUP(B125,'Setup - Materials'!$A$5:$D$304,2,0)),"")</f>
        <v/>
      </c>
      <c r="E125" s="22" t="n"/>
      <c r="F125" s="23">
        <f>IF(OR(C125="",E125=""),"",C125*E125)</f>
        <v/>
      </c>
      <c r="G125" s="21" t="n"/>
      <c r="H125" s="21" t="n"/>
    </row>
    <row r="126">
      <c r="A126" s="26" t="n"/>
      <c r="B126" s="21" t="n"/>
      <c r="C126" s="22" t="n"/>
      <c r="D126" s="23">
        <f>IFERROR(IF(B126="","",VLOOKUP(B126,'Setup - Materials'!$A$5:$D$304,2,0)),"")</f>
        <v/>
      </c>
      <c r="E126" s="22" t="n"/>
      <c r="F126" s="23">
        <f>IF(OR(C126="",E126=""),"",C126*E126)</f>
        <v/>
      </c>
      <c r="G126" s="21" t="n"/>
      <c r="H126" s="21" t="n"/>
    </row>
    <row r="127">
      <c r="A127" s="26" t="n"/>
      <c r="B127" s="21" t="n"/>
      <c r="C127" s="22" t="n"/>
      <c r="D127" s="23">
        <f>IFERROR(IF(B127="","",VLOOKUP(B127,'Setup - Materials'!$A$5:$D$304,2,0)),"")</f>
        <v/>
      </c>
      <c r="E127" s="22" t="n"/>
      <c r="F127" s="23">
        <f>IF(OR(C127="",E127=""),"",C127*E127)</f>
        <v/>
      </c>
      <c r="G127" s="21" t="n"/>
      <c r="H127" s="21" t="n"/>
    </row>
    <row r="128">
      <c r="A128" s="26" t="n"/>
      <c r="B128" s="21" t="n"/>
      <c r="C128" s="22" t="n"/>
      <c r="D128" s="23">
        <f>IFERROR(IF(B128="","",VLOOKUP(B128,'Setup - Materials'!$A$5:$D$304,2,0)),"")</f>
        <v/>
      </c>
      <c r="E128" s="22" t="n"/>
      <c r="F128" s="23">
        <f>IF(OR(C128="",E128=""),"",C128*E128)</f>
        <v/>
      </c>
      <c r="G128" s="21" t="n"/>
      <c r="H128" s="21" t="n"/>
    </row>
    <row r="129">
      <c r="A129" s="26" t="n"/>
      <c r="B129" s="21" t="n"/>
      <c r="C129" s="22" t="n"/>
      <c r="D129" s="23">
        <f>IFERROR(IF(B129="","",VLOOKUP(B129,'Setup - Materials'!$A$5:$D$304,2,0)),"")</f>
        <v/>
      </c>
      <c r="E129" s="22" t="n"/>
      <c r="F129" s="23">
        <f>IF(OR(C129="",E129=""),"",C129*E129)</f>
        <v/>
      </c>
      <c r="G129" s="21" t="n"/>
      <c r="H129" s="21" t="n"/>
    </row>
    <row r="130">
      <c r="A130" s="26" t="n"/>
      <c r="B130" s="21" t="n"/>
      <c r="C130" s="22" t="n"/>
      <c r="D130" s="23">
        <f>IFERROR(IF(B130="","",VLOOKUP(B130,'Setup - Materials'!$A$5:$D$304,2,0)),"")</f>
        <v/>
      </c>
      <c r="E130" s="22" t="n"/>
      <c r="F130" s="23">
        <f>IF(OR(C130="",E130=""),"",C130*E130)</f>
        <v/>
      </c>
      <c r="G130" s="21" t="n"/>
      <c r="H130" s="21" t="n"/>
    </row>
    <row r="131">
      <c r="A131" s="26" t="n"/>
      <c r="B131" s="21" t="n"/>
      <c r="C131" s="22" t="n"/>
      <c r="D131" s="23">
        <f>IFERROR(IF(B131="","",VLOOKUP(B131,'Setup - Materials'!$A$5:$D$304,2,0)),"")</f>
        <v/>
      </c>
      <c r="E131" s="22" t="n"/>
      <c r="F131" s="23">
        <f>IF(OR(C131="",E131=""),"",C131*E131)</f>
        <v/>
      </c>
      <c r="G131" s="21" t="n"/>
      <c r="H131" s="21" t="n"/>
    </row>
    <row r="132">
      <c r="A132" s="26" t="n"/>
      <c r="B132" s="21" t="n"/>
      <c r="C132" s="22" t="n"/>
      <c r="D132" s="23">
        <f>IFERROR(IF(B132="","",VLOOKUP(B132,'Setup - Materials'!$A$5:$D$304,2,0)),"")</f>
        <v/>
      </c>
      <c r="E132" s="22" t="n"/>
      <c r="F132" s="23">
        <f>IF(OR(C132="",E132=""),"",C132*E132)</f>
        <v/>
      </c>
      <c r="G132" s="21" t="n"/>
      <c r="H132" s="21" t="n"/>
    </row>
    <row r="133">
      <c r="A133" s="26" t="n"/>
      <c r="B133" s="21" t="n"/>
      <c r="C133" s="22" t="n"/>
      <c r="D133" s="23">
        <f>IFERROR(IF(B133="","",VLOOKUP(B133,'Setup - Materials'!$A$5:$D$304,2,0)),"")</f>
        <v/>
      </c>
      <c r="E133" s="22" t="n"/>
      <c r="F133" s="23">
        <f>IF(OR(C133="",E133=""),"",C133*E133)</f>
        <v/>
      </c>
      <c r="G133" s="21" t="n"/>
      <c r="H133" s="21" t="n"/>
    </row>
    <row r="134">
      <c r="A134" s="26" t="n"/>
      <c r="B134" s="21" t="n"/>
      <c r="C134" s="22" t="n"/>
      <c r="D134" s="23">
        <f>IFERROR(IF(B134="","",VLOOKUP(B134,'Setup - Materials'!$A$5:$D$304,2,0)),"")</f>
        <v/>
      </c>
      <c r="E134" s="22" t="n"/>
      <c r="F134" s="23">
        <f>IF(OR(C134="",E134=""),"",C134*E134)</f>
        <v/>
      </c>
      <c r="G134" s="21" t="n"/>
      <c r="H134" s="21" t="n"/>
    </row>
    <row r="135">
      <c r="A135" s="26" t="n"/>
      <c r="B135" s="21" t="n"/>
      <c r="C135" s="22" t="n"/>
      <c r="D135" s="23">
        <f>IFERROR(IF(B135="","",VLOOKUP(B135,'Setup - Materials'!$A$5:$D$304,2,0)),"")</f>
        <v/>
      </c>
      <c r="E135" s="22" t="n"/>
      <c r="F135" s="23">
        <f>IF(OR(C135="",E135=""),"",C135*E135)</f>
        <v/>
      </c>
      <c r="G135" s="21" t="n"/>
      <c r="H135" s="21" t="n"/>
    </row>
    <row r="136">
      <c r="A136" s="26" t="n"/>
      <c r="B136" s="21" t="n"/>
      <c r="C136" s="22" t="n"/>
      <c r="D136" s="23">
        <f>IFERROR(IF(B136="","",VLOOKUP(B136,'Setup - Materials'!$A$5:$D$304,2,0)),"")</f>
        <v/>
      </c>
      <c r="E136" s="22" t="n"/>
      <c r="F136" s="23">
        <f>IF(OR(C136="",E136=""),"",C136*E136)</f>
        <v/>
      </c>
      <c r="G136" s="21" t="n"/>
      <c r="H136" s="21" t="n"/>
    </row>
    <row r="137">
      <c r="A137" s="26" t="n"/>
      <c r="B137" s="21" t="n"/>
      <c r="C137" s="22" t="n"/>
      <c r="D137" s="23">
        <f>IFERROR(IF(B137="","",VLOOKUP(B137,'Setup - Materials'!$A$5:$D$304,2,0)),"")</f>
        <v/>
      </c>
      <c r="E137" s="22" t="n"/>
      <c r="F137" s="23">
        <f>IF(OR(C137="",E137=""),"",C137*E137)</f>
        <v/>
      </c>
      <c r="G137" s="21" t="n"/>
      <c r="H137" s="21" t="n"/>
    </row>
    <row r="138">
      <c r="A138" s="26" t="n"/>
      <c r="B138" s="21" t="n"/>
      <c r="C138" s="22" t="n"/>
      <c r="D138" s="23">
        <f>IFERROR(IF(B138="","",VLOOKUP(B138,'Setup - Materials'!$A$5:$D$304,2,0)),"")</f>
        <v/>
      </c>
      <c r="E138" s="22" t="n"/>
      <c r="F138" s="23">
        <f>IF(OR(C138="",E138=""),"",C138*E138)</f>
        <v/>
      </c>
      <c r="G138" s="21" t="n"/>
      <c r="H138" s="21" t="n"/>
    </row>
    <row r="139">
      <c r="A139" s="26" t="n"/>
      <c r="B139" s="21" t="n"/>
      <c r="C139" s="22" t="n"/>
      <c r="D139" s="23">
        <f>IFERROR(IF(B139="","",VLOOKUP(B139,'Setup - Materials'!$A$5:$D$304,2,0)),"")</f>
        <v/>
      </c>
      <c r="E139" s="22" t="n"/>
      <c r="F139" s="23">
        <f>IF(OR(C139="",E139=""),"",C139*E139)</f>
        <v/>
      </c>
      <c r="G139" s="21" t="n"/>
      <c r="H139" s="21" t="n"/>
    </row>
    <row r="140">
      <c r="A140" s="26" t="n"/>
      <c r="B140" s="21" t="n"/>
      <c r="C140" s="22" t="n"/>
      <c r="D140" s="23">
        <f>IFERROR(IF(B140="","",VLOOKUP(B140,'Setup - Materials'!$A$5:$D$304,2,0)),"")</f>
        <v/>
      </c>
      <c r="E140" s="22" t="n"/>
      <c r="F140" s="23">
        <f>IF(OR(C140="",E140=""),"",C140*E140)</f>
        <v/>
      </c>
      <c r="G140" s="21" t="n"/>
      <c r="H140" s="21" t="n"/>
    </row>
    <row r="141">
      <c r="A141" s="26" t="n"/>
      <c r="B141" s="21" t="n"/>
      <c r="C141" s="22" t="n"/>
      <c r="D141" s="23">
        <f>IFERROR(IF(B141="","",VLOOKUP(B141,'Setup - Materials'!$A$5:$D$304,2,0)),"")</f>
        <v/>
      </c>
      <c r="E141" s="22" t="n"/>
      <c r="F141" s="23">
        <f>IF(OR(C141="",E141=""),"",C141*E141)</f>
        <v/>
      </c>
      <c r="G141" s="21" t="n"/>
      <c r="H141" s="21" t="n"/>
    </row>
    <row r="142">
      <c r="A142" s="26" t="n"/>
      <c r="B142" s="21" t="n"/>
      <c r="C142" s="22" t="n"/>
      <c r="D142" s="23">
        <f>IFERROR(IF(B142="","",VLOOKUP(B142,'Setup - Materials'!$A$5:$D$304,2,0)),"")</f>
        <v/>
      </c>
      <c r="E142" s="22" t="n"/>
      <c r="F142" s="23">
        <f>IF(OR(C142="",E142=""),"",C142*E142)</f>
        <v/>
      </c>
      <c r="G142" s="21" t="n"/>
      <c r="H142" s="21" t="n"/>
    </row>
    <row r="143">
      <c r="A143" s="26" t="n"/>
      <c r="B143" s="21" t="n"/>
      <c r="C143" s="22" t="n"/>
      <c r="D143" s="23">
        <f>IFERROR(IF(B143="","",VLOOKUP(B143,'Setup - Materials'!$A$5:$D$304,2,0)),"")</f>
        <v/>
      </c>
      <c r="E143" s="22" t="n"/>
      <c r="F143" s="23">
        <f>IF(OR(C143="",E143=""),"",C143*E143)</f>
        <v/>
      </c>
      <c r="G143" s="21" t="n"/>
      <c r="H143" s="21" t="n"/>
    </row>
    <row r="144">
      <c r="A144" s="26" t="n"/>
      <c r="B144" s="21" t="n"/>
      <c r="C144" s="22" t="n"/>
      <c r="D144" s="23">
        <f>IFERROR(IF(B144="","",VLOOKUP(B144,'Setup - Materials'!$A$5:$D$304,2,0)),"")</f>
        <v/>
      </c>
      <c r="E144" s="22" t="n"/>
      <c r="F144" s="23">
        <f>IF(OR(C144="",E144=""),"",C144*E144)</f>
        <v/>
      </c>
      <c r="G144" s="21" t="n"/>
      <c r="H144" s="21" t="n"/>
    </row>
    <row r="145">
      <c r="A145" s="26" t="n"/>
      <c r="B145" s="21" t="n"/>
      <c r="C145" s="22" t="n"/>
      <c r="D145" s="23">
        <f>IFERROR(IF(B145="","",VLOOKUP(B145,'Setup - Materials'!$A$5:$D$304,2,0)),"")</f>
        <v/>
      </c>
      <c r="E145" s="22" t="n"/>
      <c r="F145" s="23">
        <f>IF(OR(C145="",E145=""),"",C145*E145)</f>
        <v/>
      </c>
      <c r="G145" s="21" t="n"/>
      <c r="H145" s="21" t="n"/>
    </row>
    <row r="146">
      <c r="A146" s="26" t="n"/>
      <c r="B146" s="21" t="n"/>
      <c r="C146" s="22" t="n"/>
      <c r="D146" s="23">
        <f>IFERROR(IF(B146="","",VLOOKUP(B146,'Setup - Materials'!$A$5:$D$304,2,0)),"")</f>
        <v/>
      </c>
      <c r="E146" s="22" t="n"/>
      <c r="F146" s="23">
        <f>IF(OR(C146="",E146=""),"",C146*E146)</f>
        <v/>
      </c>
      <c r="G146" s="21" t="n"/>
      <c r="H146" s="21" t="n"/>
    </row>
    <row r="147">
      <c r="A147" s="26" t="n"/>
      <c r="B147" s="21" t="n"/>
      <c r="C147" s="22" t="n"/>
      <c r="D147" s="23">
        <f>IFERROR(IF(B147="","",VLOOKUP(B147,'Setup - Materials'!$A$5:$D$304,2,0)),"")</f>
        <v/>
      </c>
      <c r="E147" s="22" t="n"/>
      <c r="F147" s="23">
        <f>IF(OR(C147="",E147=""),"",C147*E147)</f>
        <v/>
      </c>
      <c r="G147" s="21" t="n"/>
      <c r="H147" s="21" t="n"/>
    </row>
    <row r="148">
      <c r="A148" s="26" t="n"/>
      <c r="B148" s="21" t="n"/>
      <c r="C148" s="22" t="n"/>
      <c r="D148" s="23">
        <f>IFERROR(IF(B148="","",VLOOKUP(B148,'Setup - Materials'!$A$5:$D$304,2,0)),"")</f>
        <v/>
      </c>
      <c r="E148" s="22" t="n"/>
      <c r="F148" s="23">
        <f>IF(OR(C148="",E148=""),"",C148*E148)</f>
        <v/>
      </c>
      <c r="G148" s="21" t="n"/>
      <c r="H148" s="21" t="n"/>
    </row>
    <row r="149">
      <c r="A149" s="26" t="n"/>
      <c r="B149" s="21" t="n"/>
      <c r="C149" s="22" t="n"/>
      <c r="D149" s="23">
        <f>IFERROR(IF(B149="","",VLOOKUP(B149,'Setup - Materials'!$A$5:$D$304,2,0)),"")</f>
        <v/>
      </c>
      <c r="E149" s="22" t="n"/>
      <c r="F149" s="23">
        <f>IF(OR(C149="",E149=""),"",C149*E149)</f>
        <v/>
      </c>
      <c r="G149" s="21" t="n"/>
      <c r="H149" s="21" t="n"/>
    </row>
    <row r="150">
      <c r="A150" s="26" t="n"/>
      <c r="B150" s="21" t="n"/>
      <c r="C150" s="22" t="n"/>
      <c r="D150" s="23">
        <f>IFERROR(IF(B150="","",VLOOKUP(B150,'Setup - Materials'!$A$5:$D$304,2,0)),"")</f>
        <v/>
      </c>
      <c r="E150" s="22" t="n"/>
      <c r="F150" s="23">
        <f>IF(OR(C150="",E150=""),"",C150*E150)</f>
        <v/>
      </c>
      <c r="G150" s="21" t="n"/>
      <c r="H150" s="21" t="n"/>
    </row>
    <row r="151">
      <c r="A151" s="26" t="n"/>
      <c r="B151" s="21" t="n"/>
      <c r="C151" s="22" t="n"/>
      <c r="D151" s="23">
        <f>IFERROR(IF(B151="","",VLOOKUP(B151,'Setup - Materials'!$A$5:$D$304,2,0)),"")</f>
        <v/>
      </c>
      <c r="E151" s="22" t="n"/>
      <c r="F151" s="23">
        <f>IF(OR(C151="",E151=""),"",C151*E151)</f>
        <v/>
      </c>
      <c r="G151" s="21" t="n"/>
      <c r="H151" s="21" t="n"/>
    </row>
    <row r="152">
      <c r="A152" s="26" t="n"/>
      <c r="B152" s="21" t="n"/>
      <c r="C152" s="22" t="n"/>
      <c r="D152" s="23">
        <f>IFERROR(IF(B152="","",VLOOKUP(B152,'Setup - Materials'!$A$5:$D$304,2,0)),"")</f>
        <v/>
      </c>
      <c r="E152" s="22" t="n"/>
      <c r="F152" s="23">
        <f>IF(OR(C152="",E152=""),"",C152*E152)</f>
        <v/>
      </c>
      <c r="G152" s="21" t="n"/>
      <c r="H152" s="21" t="n"/>
    </row>
    <row r="153">
      <c r="A153" s="26" t="n"/>
      <c r="B153" s="21" t="n"/>
      <c r="C153" s="22" t="n"/>
      <c r="D153" s="23">
        <f>IFERROR(IF(B153="","",VLOOKUP(B153,'Setup - Materials'!$A$5:$D$304,2,0)),"")</f>
        <v/>
      </c>
      <c r="E153" s="22" t="n"/>
      <c r="F153" s="23">
        <f>IF(OR(C153="",E153=""),"",C153*E153)</f>
        <v/>
      </c>
      <c r="G153" s="21" t="n"/>
      <c r="H153" s="21" t="n"/>
    </row>
    <row r="154">
      <c r="A154" s="26" t="n"/>
      <c r="B154" s="21" t="n"/>
      <c r="C154" s="22" t="n"/>
      <c r="D154" s="23">
        <f>IFERROR(IF(B154="","",VLOOKUP(B154,'Setup - Materials'!$A$5:$D$304,2,0)),"")</f>
        <v/>
      </c>
      <c r="E154" s="22" t="n"/>
      <c r="F154" s="23">
        <f>IF(OR(C154="",E154=""),"",C154*E154)</f>
        <v/>
      </c>
      <c r="G154" s="21" t="n"/>
      <c r="H154" s="21" t="n"/>
    </row>
    <row r="155">
      <c r="A155" s="26" t="n"/>
      <c r="B155" s="21" t="n"/>
      <c r="C155" s="22" t="n"/>
      <c r="D155" s="23">
        <f>IFERROR(IF(B155="","",VLOOKUP(B155,'Setup - Materials'!$A$5:$D$304,2,0)),"")</f>
        <v/>
      </c>
      <c r="E155" s="22" t="n"/>
      <c r="F155" s="23">
        <f>IF(OR(C155="",E155=""),"",C155*E155)</f>
        <v/>
      </c>
      <c r="G155" s="21" t="n"/>
      <c r="H155" s="21" t="n"/>
    </row>
    <row r="156">
      <c r="A156" s="26" t="n"/>
      <c r="B156" s="21" t="n"/>
      <c r="C156" s="22" t="n"/>
      <c r="D156" s="23">
        <f>IFERROR(IF(B156="","",VLOOKUP(B156,'Setup - Materials'!$A$5:$D$304,2,0)),"")</f>
        <v/>
      </c>
      <c r="E156" s="22" t="n"/>
      <c r="F156" s="23">
        <f>IF(OR(C156="",E156=""),"",C156*E156)</f>
        <v/>
      </c>
      <c r="G156" s="21" t="n"/>
      <c r="H156" s="21" t="n"/>
    </row>
    <row r="157">
      <c r="A157" s="26" t="n"/>
      <c r="B157" s="21" t="n"/>
      <c r="C157" s="22" t="n"/>
      <c r="D157" s="23">
        <f>IFERROR(IF(B157="","",VLOOKUP(B157,'Setup - Materials'!$A$5:$D$304,2,0)),"")</f>
        <v/>
      </c>
      <c r="E157" s="22" t="n"/>
      <c r="F157" s="23">
        <f>IF(OR(C157="",E157=""),"",C157*E157)</f>
        <v/>
      </c>
      <c r="G157" s="21" t="n"/>
      <c r="H157" s="21" t="n"/>
    </row>
    <row r="158">
      <c r="A158" s="26" t="n"/>
      <c r="B158" s="21" t="n"/>
      <c r="C158" s="22" t="n"/>
      <c r="D158" s="23">
        <f>IFERROR(IF(B158="","",VLOOKUP(B158,'Setup - Materials'!$A$5:$D$304,2,0)),"")</f>
        <v/>
      </c>
      <c r="E158" s="22" t="n"/>
      <c r="F158" s="23">
        <f>IF(OR(C158="",E158=""),"",C158*E158)</f>
        <v/>
      </c>
      <c r="G158" s="21" t="n"/>
      <c r="H158" s="21" t="n"/>
    </row>
    <row r="159">
      <c r="A159" s="26" t="n"/>
      <c r="B159" s="21" t="n"/>
      <c r="C159" s="22" t="n"/>
      <c r="D159" s="23">
        <f>IFERROR(IF(B159="","",VLOOKUP(B159,'Setup - Materials'!$A$5:$D$304,2,0)),"")</f>
        <v/>
      </c>
      <c r="E159" s="22" t="n"/>
      <c r="F159" s="23">
        <f>IF(OR(C159="",E159=""),"",C159*E159)</f>
        <v/>
      </c>
      <c r="G159" s="21" t="n"/>
      <c r="H159" s="21" t="n"/>
    </row>
    <row r="160">
      <c r="A160" s="26" t="n"/>
      <c r="B160" s="21" t="n"/>
      <c r="C160" s="22" t="n"/>
      <c r="D160" s="23">
        <f>IFERROR(IF(B160="","",VLOOKUP(B160,'Setup - Materials'!$A$5:$D$304,2,0)),"")</f>
        <v/>
      </c>
      <c r="E160" s="22" t="n"/>
      <c r="F160" s="23">
        <f>IF(OR(C160="",E160=""),"",C160*E160)</f>
        <v/>
      </c>
      <c r="G160" s="21" t="n"/>
      <c r="H160" s="21" t="n"/>
    </row>
    <row r="161">
      <c r="A161" s="26" t="n"/>
      <c r="B161" s="21" t="n"/>
      <c r="C161" s="22" t="n"/>
      <c r="D161" s="23">
        <f>IFERROR(IF(B161="","",VLOOKUP(B161,'Setup - Materials'!$A$5:$D$304,2,0)),"")</f>
        <v/>
      </c>
      <c r="E161" s="22" t="n"/>
      <c r="F161" s="23">
        <f>IF(OR(C161="",E161=""),"",C161*E161)</f>
        <v/>
      </c>
      <c r="G161" s="21" t="n"/>
      <c r="H161" s="21" t="n"/>
    </row>
    <row r="162">
      <c r="A162" s="26" t="n"/>
      <c r="B162" s="21" t="n"/>
      <c r="C162" s="22" t="n"/>
      <c r="D162" s="23">
        <f>IFERROR(IF(B162="","",VLOOKUP(B162,'Setup - Materials'!$A$5:$D$304,2,0)),"")</f>
        <v/>
      </c>
      <c r="E162" s="22" t="n"/>
      <c r="F162" s="23">
        <f>IF(OR(C162="",E162=""),"",C162*E162)</f>
        <v/>
      </c>
      <c r="G162" s="21" t="n"/>
      <c r="H162" s="21" t="n"/>
    </row>
    <row r="163">
      <c r="A163" s="26" t="n"/>
      <c r="B163" s="21" t="n"/>
      <c r="C163" s="22" t="n"/>
      <c r="D163" s="23">
        <f>IFERROR(IF(B163="","",VLOOKUP(B163,'Setup - Materials'!$A$5:$D$304,2,0)),"")</f>
        <v/>
      </c>
      <c r="E163" s="22" t="n"/>
      <c r="F163" s="23">
        <f>IF(OR(C163="",E163=""),"",C163*E163)</f>
        <v/>
      </c>
      <c r="G163" s="21" t="n"/>
      <c r="H163" s="21" t="n"/>
    </row>
    <row r="164">
      <c r="A164" s="26" t="n"/>
      <c r="B164" s="21" t="n"/>
      <c r="C164" s="22" t="n"/>
      <c r="D164" s="23">
        <f>IFERROR(IF(B164="","",VLOOKUP(B164,'Setup - Materials'!$A$5:$D$304,2,0)),"")</f>
        <v/>
      </c>
      <c r="E164" s="22" t="n"/>
      <c r="F164" s="23">
        <f>IF(OR(C164="",E164=""),"",C164*E164)</f>
        <v/>
      </c>
      <c r="G164" s="21" t="n"/>
      <c r="H164" s="21" t="n"/>
    </row>
    <row r="165">
      <c r="A165" s="26" t="n"/>
      <c r="B165" s="21" t="n"/>
      <c r="C165" s="22" t="n"/>
      <c r="D165" s="23">
        <f>IFERROR(IF(B165="","",VLOOKUP(B165,'Setup - Materials'!$A$5:$D$304,2,0)),"")</f>
        <v/>
      </c>
      <c r="E165" s="22" t="n"/>
      <c r="F165" s="23">
        <f>IF(OR(C165="",E165=""),"",C165*E165)</f>
        <v/>
      </c>
      <c r="G165" s="21" t="n"/>
      <c r="H165" s="21" t="n"/>
    </row>
    <row r="166">
      <c r="A166" s="26" t="n"/>
      <c r="B166" s="21" t="n"/>
      <c r="C166" s="22" t="n"/>
      <c r="D166" s="23">
        <f>IFERROR(IF(B166="","",VLOOKUP(B166,'Setup - Materials'!$A$5:$D$304,2,0)),"")</f>
        <v/>
      </c>
      <c r="E166" s="22" t="n"/>
      <c r="F166" s="23">
        <f>IF(OR(C166="",E166=""),"",C166*E166)</f>
        <v/>
      </c>
      <c r="G166" s="21" t="n"/>
      <c r="H166" s="21" t="n"/>
    </row>
    <row r="167">
      <c r="A167" s="26" t="n"/>
      <c r="B167" s="21" t="n"/>
      <c r="C167" s="22" t="n"/>
      <c r="D167" s="23">
        <f>IFERROR(IF(B167="","",VLOOKUP(B167,'Setup - Materials'!$A$5:$D$304,2,0)),"")</f>
        <v/>
      </c>
      <c r="E167" s="22" t="n"/>
      <c r="F167" s="23">
        <f>IF(OR(C167="",E167=""),"",C167*E167)</f>
        <v/>
      </c>
      <c r="G167" s="21" t="n"/>
      <c r="H167" s="21" t="n"/>
    </row>
    <row r="168">
      <c r="A168" s="26" t="n"/>
      <c r="B168" s="21" t="n"/>
      <c r="C168" s="22" t="n"/>
      <c r="D168" s="23">
        <f>IFERROR(IF(B168="","",VLOOKUP(B168,'Setup - Materials'!$A$5:$D$304,2,0)),"")</f>
        <v/>
      </c>
      <c r="E168" s="22" t="n"/>
      <c r="F168" s="23">
        <f>IF(OR(C168="",E168=""),"",C168*E168)</f>
        <v/>
      </c>
      <c r="G168" s="21" t="n"/>
      <c r="H168" s="21" t="n"/>
    </row>
    <row r="169">
      <c r="A169" s="26" t="n"/>
      <c r="B169" s="21" t="n"/>
      <c r="C169" s="22" t="n"/>
      <c r="D169" s="23">
        <f>IFERROR(IF(B169="","",VLOOKUP(B169,'Setup - Materials'!$A$5:$D$304,2,0)),"")</f>
        <v/>
      </c>
      <c r="E169" s="22" t="n"/>
      <c r="F169" s="23">
        <f>IF(OR(C169="",E169=""),"",C169*E169)</f>
        <v/>
      </c>
      <c r="G169" s="21" t="n"/>
      <c r="H169" s="21" t="n"/>
    </row>
    <row r="170">
      <c r="A170" s="26" t="n"/>
      <c r="B170" s="21" t="n"/>
      <c r="C170" s="22" t="n"/>
      <c r="D170" s="23">
        <f>IFERROR(IF(B170="","",VLOOKUP(B170,'Setup - Materials'!$A$5:$D$304,2,0)),"")</f>
        <v/>
      </c>
      <c r="E170" s="22" t="n"/>
      <c r="F170" s="23">
        <f>IF(OR(C170="",E170=""),"",C170*E170)</f>
        <v/>
      </c>
      <c r="G170" s="21" t="n"/>
      <c r="H170" s="21" t="n"/>
    </row>
    <row r="171">
      <c r="A171" s="26" t="n"/>
      <c r="B171" s="21" t="n"/>
      <c r="C171" s="22" t="n"/>
      <c r="D171" s="23">
        <f>IFERROR(IF(B171="","",VLOOKUP(B171,'Setup - Materials'!$A$5:$D$304,2,0)),"")</f>
        <v/>
      </c>
      <c r="E171" s="22" t="n"/>
      <c r="F171" s="23">
        <f>IF(OR(C171="",E171=""),"",C171*E171)</f>
        <v/>
      </c>
      <c r="G171" s="21" t="n"/>
      <c r="H171" s="21" t="n"/>
    </row>
    <row r="172">
      <c r="A172" s="26" t="n"/>
      <c r="B172" s="21" t="n"/>
      <c r="C172" s="22" t="n"/>
      <c r="D172" s="23">
        <f>IFERROR(IF(B172="","",VLOOKUP(B172,'Setup - Materials'!$A$5:$D$304,2,0)),"")</f>
        <v/>
      </c>
      <c r="E172" s="22" t="n"/>
      <c r="F172" s="23">
        <f>IF(OR(C172="",E172=""),"",C172*E172)</f>
        <v/>
      </c>
      <c r="G172" s="21" t="n"/>
      <c r="H172" s="21" t="n"/>
    </row>
    <row r="173">
      <c r="A173" s="26" t="n"/>
      <c r="B173" s="21" t="n"/>
      <c r="C173" s="22" t="n"/>
      <c r="D173" s="23">
        <f>IFERROR(IF(B173="","",VLOOKUP(B173,'Setup - Materials'!$A$5:$D$304,2,0)),"")</f>
        <v/>
      </c>
      <c r="E173" s="22" t="n"/>
      <c r="F173" s="23">
        <f>IF(OR(C173="",E173=""),"",C173*E173)</f>
        <v/>
      </c>
      <c r="G173" s="21" t="n"/>
      <c r="H173" s="21" t="n"/>
    </row>
    <row r="174">
      <c r="A174" s="26" t="n"/>
      <c r="B174" s="21" t="n"/>
      <c r="C174" s="22" t="n"/>
      <c r="D174" s="23">
        <f>IFERROR(IF(B174="","",VLOOKUP(B174,'Setup - Materials'!$A$5:$D$304,2,0)),"")</f>
        <v/>
      </c>
      <c r="E174" s="22" t="n"/>
      <c r="F174" s="23">
        <f>IF(OR(C174="",E174=""),"",C174*E174)</f>
        <v/>
      </c>
      <c r="G174" s="21" t="n"/>
      <c r="H174" s="21" t="n"/>
    </row>
    <row r="175">
      <c r="A175" s="26" t="n"/>
      <c r="B175" s="21" t="n"/>
      <c r="C175" s="22" t="n"/>
      <c r="D175" s="23">
        <f>IFERROR(IF(B175="","",VLOOKUP(B175,'Setup - Materials'!$A$5:$D$304,2,0)),"")</f>
        <v/>
      </c>
      <c r="E175" s="22" t="n"/>
      <c r="F175" s="23">
        <f>IF(OR(C175="",E175=""),"",C175*E175)</f>
        <v/>
      </c>
      <c r="G175" s="21" t="n"/>
      <c r="H175" s="21" t="n"/>
    </row>
    <row r="176">
      <c r="A176" s="26" t="n"/>
      <c r="B176" s="21" t="n"/>
      <c r="C176" s="22" t="n"/>
      <c r="D176" s="23">
        <f>IFERROR(IF(B176="","",VLOOKUP(B176,'Setup - Materials'!$A$5:$D$304,2,0)),"")</f>
        <v/>
      </c>
      <c r="E176" s="22" t="n"/>
      <c r="F176" s="23">
        <f>IF(OR(C176="",E176=""),"",C176*E176)</f>
        <v/>
      </c>
      <c r="G176" s="21" t="n"/>
      <c r="H176" s="21" t="n"/>
    </row>
    <row r="177">
      <c r="A177" s="26" t="n"/>
      <c r="B177" s="21" t="n"/>
      <c r="C177" s="22" t="n"/>
      <c r="D177" s="23">
        <f>IFERROR(IF(B177="","",VLOOKUP(B177,'Setup - Materials'!$A$5:$D$304,2,0)),"")</f>
        <v/>
      </c>
      <c r="E177" s="22" t="n"/>
      <c r="F177" s="23">
        <f>IF(OR(C177="",E177=""),"",C177*E177)</f>
        <v/>
      </c>
      <c r="G177" s="21" t="n"/>
      <c r="H177" s="21" t="n"/>
    </row>
    <row r="178">
      <c r="A178" s="26" t="n"/>
      <c r="B178" s="21" t="n"/>
      <c r="C178" s="22" t="n"/>
      <c r="D178" s="23">
        <f>IFERROR(IF(B178="","",VLOOKUP(B178,'Setup - Materials'!$A$5:$D$304,2,0)),"")</f>
        <v/>
      </c>
      <c r="E178" s="22" t="n"/>
      <c r="F178" s="23">
        <f>IF(OR(C178="",E178=""),"",C178*E178)</f>
        <v/>
      </c>
      <c r="G178" s="21" t="n"/>
      <c r="H178" s="21" t="n"/>
    </row>
    <row r="179">
      <c r="A179" s="26" t="n"/>
      <c r="B179" s="21" t="n"/>
      <c r="C179" s="22" t="n"/>
      <c r="D179" s="23">
        <f>IFERROR(IF(B179="","",VLOOKUP(B179,'Setup - Materials'!$A$5:$D$304,2,0)),"")</f>
        <v/>
      </c>
      <c r="E179" s="22" t="n"/>
      <c r="F179" s="23">
        <f>IF(OR(C179="",E179=""),"",C179*E179)</f>
        <v/>
      </c>
      <c r="G179" s="21" t="n"/>
      <c r="H179" s="21" t="n"/>
    </row>
    <row r="180">
      <c r="A180" s="26" t="n"/>
      <c r="B180" s="21" t="n"/>
      <c r="C180" s="22" t="n"/>
      <c r="D180" s="23">
        <f>IFERROR(IF(B180="","",VLOOKUP(B180,'Setup - Materials'!$A$5:$D$304,2,0)),"")</f>
        <v/>
      </c>
      <c r="E180" s="22" t="n"/>
      <c r="F180" s="23">
        <f>IF(OR(C180="",E180=""),"",C180*E180)</f>
        <v/>
      </c>
      <c r="G180" s="21" t="n"/>
      <c r="H180" s="21" t="n"/>
    </row>
    <row r="181">
      <c r="A181" s="26" t="n"/>
      <c r="B181" s="21" t="n"/>
      <c r="C181" s="22" t="n"/>
      <c r="D181" s="23">
        <f>IFERROR(IF(B181="","",VLOOKUP(B181,'Setup - Materials'!$A$5:$D$304,2,0)),"")</f>
        <v/>
      </c>
      <c r="E181" s="22" t="n"/>
      <c r="F181" s="23">
        <f>IF(OR(C181="",E181=""),"",C181*E181)</f>
        <v/>
      </c>
      <c r="G181" s="21" t="n"/>
      <c r="H181" s="21" t="n"/>
    </row>
    <row r="182">
      <c r="A182" s="26" t="n"/>
      <c r="B182" s="21" t="n"/>
      <c r="C182" s="22" t="n"/>
      <c r="D182" s="23">
        <f>IFERROR(IF(B182="","",VLOOKUP(B182,'Setup - Materials'!$A$5:$D$304,2,0)),"")</f>
        <v/>
      </c>
      <c r="E182" s="22" t="n"/>
      <c r="F182" s="23">
        <f>IF(OR(C182="",E182=""),"",C182*E182)</f>
        <v/>
      </c>
      <c r="G182" s="21" t="n"/>
      <c r="H182" s="21" t="n"/>
    </row>
    <row r="183">
      <c r="A183" s="26" t="n"/>
      <c r="B183" s="21" t="n"/>
      <c r="C183" s="22" t="n"/>
      <c r="D183" s="23">
        <f>IFERROR(IF(B183="","",VLOOKUP(B183,'Setup - Materials'!$A$5:$D$304,2,0)),"")</f>
        <v/>
      </c>
      <c r="E183" s="22" t="n"/>
      <c r="F183" s="23">
        <f>IF(OR(C183="",E183=""),"",C183*E183)</f>
        <v/>
      </c>
      <c r="G183" s="21" t="n"/>
      <c r="H183" s="21" t="n"/>
    </row>
    <row r="184">
      <c r="A184" s="26" t="n"/>
      <c r="B184" s="21" t="n"/>
      <c r="C184" s="22" t="n"/>
      <c r="D184" s="23">
        <f>IFERROR(IF(B184="","",VLOOKUP(B184,'Setup - Materials'!$A$5:$D$304,2,0)),"")</f>
        <v/>
      </c>
      <c r="E184" s="22" t="n"/>
      <c r="F184" s="23">
        <f>IF(OR(C184="",E184=""),"",C184*E184)</f>
        <v/>
      </c>
      <c r="G184" s="21" t="n"/>
      <c r="H184" s="21" t="n"/>
    </row>
    <row r="185">
      <c r="A185" s="26" t="n"/>
      <c r="B185" s="21" t="n"/>
      <c r="C185" s="22" t="n"/>
      <c r="D185" s="23">
        <f>IFERROR(IF(B185="","",VLOOKUP(B185,'Setup - Materials'!$A$5:$D$304,2,0)),"")</f>
        <v/>
      </c>
      <c r="E185" s="22" t="n"/>
      <c r="F185" s="23">
        <f>IF(OR(C185="",E185=""),"",C185*E185)</f>
        <v/>
      </c>
      <c r="G185" s="21" t="n"/>
      <c r="H185" s="21" t="n"/>
    </row>
    <row r="186">
      <c r="A186" s="26" t="n"/>
      <c r="B186" s="21" t="n"/>
      <c r="C186" s="22" t="n"/>
      <c r="D186" s="23">
        <f>IFERROR(IF(B186="","",VLOOKUP(B186,'Setup - Materials'!$A$5:$D$304,2,0)),"")</f>
        <v/>
      </c>
      <c r="E186" s="22" t="n"/>
      <c r="F186" s="23">
        <f>IF(OR(C186="",E186=""),"",C186*E186)</f>
        <v/>
      </c>
      <c r="G186" s="21" t="n"/>
      <c r="H186" s="21" t="n"/>
    </row>
    <row r="187">
      <c r="A187" s="26" t="n"/>
      <c r="B187" s="21" t="n"/>
      <c r="C187" s="22" t="n"/>
      <c r="D187" s="23">
        <f>IFERROR(IF(B187="","",VLOOKUP(B187,'Setup - Materials'!$A$5:$D$304,2,0)),"")</f>
        <v/>
      </c>
      <c r="E187" s="22" t="n"/>
      <c r="F187" s="23">
        <f>IF(OR(C187="",E187=""),"",C187*E187)</f>
        <v/>
      </c>
      <c r="G187" s="21" t="n"/>
      <c r="H187" s="21" t="n"/>
    </row>
    <row r="188">
      <c r="A188" s="26" t="n"/>
      <c r="B188" s="21" t="n"/>
      <c r="C188" s="22" t="n"/>
      <c r="D188" s="23">
        <f>IFERROR(IF(B188="","",VLOOKUP(B188,'Setup - Materials'!$A$5:$D$304,2,0)),"")</f>
        <v/>
      </c>
      <c r="E188" s="22" t="n"/>
      <c r="F188" s="23">
        <f>IF(OR(C188="",E188=""),"",C188*E188)</f>
        <v/>
      </c>
      <c r="G188" s="21" t="n"/>
      <c r="H188" s="21" t="n"/>
    </row>
    <row r="189">
      <c r="A189" s="26" t="n"/>
      <c r="B189" s="21" t="n"/>
      <c r="C189" s="22" t="n"/>
      <c r="D189" s="23">
        <f>IFERROR(IF(B189="","",VLOOKUP(B189,'Setup - Materials'!$A$5:$D$304,2,0)),"")</f>
        <v/>
      </c>
      <c r="E189" s="22" t="n"/>
      <c r="F189" s="23">
        <f>IF(OR(C189="",E189=""),"",C189*E189)</f>
        <v/>
      </c>
      <c r="G189" s="21" t="n"/>
      <c r="H189" s="21" t="n"/>
    </row>
    <row r="190">
      <c r="A190" s="26" t="n"/>
      <c r="B190" s="21" t="n"/>
      <c r="C190" s="22" t="n"/>
      <c r="D190" s="23">
        <f>IFERROR(IF(B190="","",VLOOKUP(B190,'Setup - Materials'!$A$5:$D$304,2,0)),"")</f>
        <v/>
      </c>
      <c r="E190" s="22" t="n"/>
      <c r="F190" s="23">
        <f>IF(OR(C190="",E190=""),"",C190*E190)</f>
        <v/>
      </c>
      <c r="G190" s="21" t="n"/>
      <c r="H190" s="21" t="n"/>
    </row>
    <row r="191">
      <c r="A191" s="26" t="n"/>
      <c r="B191" s="21" t="n"/>
      <c r="C191" s="22" t="n"/>
      <c r="D191" s="23">
        <f>IFERROR(IF(B191="","",VLOOKUP(B191,'Setup - Materials'!$A$5:$D$304,2,0)),"")</f>
        <v/>
      </c>
      <c r="E191" s="22" t="n"/>
      <c r="F191" s="23">
        <f>IF(OR(C191="",E191=""),"",C191*E191)</f>
        <v/>
      </c>
      <c r="G191" s="21" t="n"/>
      <c r="H191" s="21" t="n"/>
    </row>
    <row r="192">
      <c r="A192" s="26" t="n"/>
      <c r="B192" s="21" t="n"/>
      <c r="C192" s="22" t="n"/>
      <c r="D192" s="23">
        <f>IFERROR(IF(B192="","",VLOOKUP(B192,'Setup - Materials'!$A$5:$D$304,2,0)),"")</f>
        <v/>
      </c>
      <c r="E192" s="22" t="n"/>
      <c r="F192" s="23">
        <f>IF(OR(C192="",E192=""),"",C192*E192)</f>
        <v/>
      </c>
      <c r="G192" s="21" t="n"/>
      <c r="H192" s="21" t="n"/>
    </row>
    <row r="193">
      <c r="A193" s="26" t="n"/>
      <c r="B193" s="21" t="n"/>
      <c r="C193" s="22" t="n"/>
      <c r="D193" s="23">
        <f>IFERROR(IF(B193="","",VLOOKUP(B193,'Setup - Materials'!$A$5:$D$304,2,0)),"")</f>
        <v/>
      </c>
      <c r="E193" s="22" t="n"/>
      <c r="F193" s="23">
        <f>IF(OR(C193="",E193=""),"",C193*E193)</f>
        <v/>
      </c>
      <c r="G193" s="21" t="n"/>
      <c r="H193" s="21" t="n"/>
    </row>
    <row r="194">
      <c r="A194" s="26" t="n"/>
      <c r="B194" s="21" t="n"/>
      <c r="C194" s="22" t="n"/>
      <c r="D194" s="23">
        <f>IFERROR(IF(B194="","",VLOOKUP(B194,'Setup - Materials'!$A$5:$D$304,2,0)),"")</f>
        <v/>
      </c>
      <c r="E194" s="22" t="n"/>
      <c r="F194" s="23">
        <f>IF(OR(C194="",E194=""),"",C194*E194)</f>
        <v/>
      </c>
      <c r="G194" s="21" t="n"/>
      <c r="H194" s="21" t="n"/>
    </row>
    <row r="195">
      <c r="A195" s="26" t="n"/>
      <c r="B195" s="21" t="n"/>
      <c r="C195" s="22" t="n"/>
      <c r="D195" s="23">
        <f>IFERROR(IF(B195="","",VLOOKUP(B195,'Setup - Materials'!$A$5:$D$304,2,0)),"")</f>
        <v/>
      </c>
      <c r="E195" s="22" t="n"/>
      <c r="F195" s="23">
        <f>IF(OR(C195="",E195=""),"",C195*E195)</f>
        <v/>
      </c>
      <c r="G195" s="21" t="n"/>
      <c r="H195" s="21" t="n"/>
    </row>
    <row r="196">
      <c r="A196" s="26" t="n"/>
      <c r="B196" s="21" t="n"/>
      <c r="C196" s="22" t="n"/>
      <c r="D196" s="23">
        <f>IFERROR(IF(B196="","",VLOOKUP(B196,'Setup - Materials'!$A$5:$D$304,2,0)),"")</f>
        <v/>
      </c>
      <c r="E196" s="22" t="n"/>
      <c r="F196" s="23">
        <f>IF(OR(C196="",E196=""),"",C196*E196)</f>
        <v/>
      </c>
      <c r="G196" s="21" t="n"/>
      <c r="H196" s="21" t="n"/>
    </row>
    <row r="197">
      <c r="A197" s="26" t="n"/>
      <c r="B197" s="21" t="n"/>
      <c r="C197" s="22" t="n"/>
      <c r="D197" s="23">
        <f>IFERROR(IF(B197="","",VLOOKUP(B197,'Setup - Materials'!$A$5:$D$304,2,0)),"")</f>
        <v/>
      </c>
      <c r="E197" s="22" t="n"/>
      <c r="F197" s="23">
        <f>IF(OR(C197="",E197=""),"",C197*E197)</f>
        <v/>
      </c>
      <c r="G197" s="21" t="n"/>
      <c r="H197" s="21" t="n"/>
    </row>
    <row r="198">
      <c r="A198" s="26" t="n"/>
      <c r="B198" s="21" t="n"/>
      <c r="C198" s="22" t="n"/>
      <c r="D198" s="23">
        <f>IFERROR(IF(B198="","",VLOOKUP(B198,'Setup - Materials'!$A$5:$D$304,2,0)),"")</f>
        <v/>
      </c>
      <c r="E198" s="22" t="n"/>
      <c r="F198" s="23">
        <f>IF(OR(C198="",E198=""),"",C198*E198)</f>
        <v/>
      </c>
      <c r="G198" s="21" t="n"/>
      <c r="H198" s="21" t="n"/>
    </row>
    <row r="199">
      <c r="A199" s="26" t="n"/>
      <c r="B199" s="21" t="n"/>
      <c r="C199" s="22" t="n"/>
      <c r="D199" s="23">
        <f>IFERROR(IF(B199="","",VLOOKUP(B199,'Setup - Materials'!$A$5:$D$304,2,0)),"")</f>
        <v/>
      </c>
      <c r="E199" s="22" t="n"/>
      <c r="F199" s="23">
        <f>IF(OR(C199="",E199=""),"",C199*E199)</f>
        <v/>
      </c>
      <c r="G199" s="21" t="n"/>
      <c r="H199" s="21" t="n"/>
    </row>
    <row r="200">
      <c r="A200" s="26" t="n"/>
      <c r="B200" s="21" t="n"/>
      <c r="C200" s="22" t="n"/>
      <c r="D200" s="23">
        <f>IFERROR(IF(B200="","",VLOOKUP(B200,'Setup - Materials'!$A$5:$D$304,2,0)),"")</f>
        <v/>
      </c>
      <c r="E200" s="22" t="n"/>
      <c r="F200" s="23">
        <f>IF(OR(C200="",E200=""),"",C200*E200)</f>
        <v/>
      </c>
      <c r="G200" s="21" t="n"/>
      <c r="H200" s="21" t="n"/>
    </row>
    <row r="201">
      <c r="A201" s="26" t="n"/>
      <c r="B201" s="21" t="n"/>
      <c r="C201" s="22" t="n"/>
      <c r="D201" s="23">
        <f>IFERROR(IF(B201="","",VLOOKUP(B201,'Setup - Materials'!$A$5:$D$304,2,0)),"")</f>
        <v/>
      </c>
      <c r="E201" s="22" t="n"/>
      <c r="F201" s="23">
        <f>IF(OR(C201="",E201=""),"",C201*E201)</f>
        <v/>
      </c>
      <c r="G201" s="21" t="n"/>
      <c r="H201" s="21" t="n"/>
    </row>
    <row r="202">
      <c r="A202" s="26" t="n"/>
      <c r="B202" s="21" t="n"/>
      <c r="C202" s="22" t="n"/>
      <c r="D202" s="23">
        <f>IFERROR(IF(B202="","",VLOOKUP(B202,'Setup - Materials'!$A$5:$D$304,2,0)),"")</f>
        <v/>
      </c>
      <c r="E202" s="22" t="n"/>
      <c r="F202" s="23">
        <f>IF(OR(C202="",E202=""),"",C202*E202)</f>
        <v/>
      </c>
      <c r="G202" s="21" t="n"/>
      <c r="H202" s="21" t="n"/>
    </row>
    <row r="203">
      <c r="A203" s="26" t="n"/>
      <c r="B203" s="21" t="n"/>
      <c r="C203" s="22" t="n"/>
      <c r="D203" s="23">
        <f>IFERROR(IF(B203="","",VLOOKUP(B203,'Setup - Materials'!$A$5:$D$304,2,0)),"")</f>
        <v/>
      </c>
      <c r="E203" s="22" t="n"/>
      <c r="F203" s="23">
        <f>IF(OR(C203="",E203=""),"",C203*E203)</f>
        <v/>
      </c>
      <c r="G203" s="21" t="n"/>
      <c r="H203" s="21" t="n"/>
    </row>
    <row r="204">
      <c r="A204" s="26" t="n"/>
      <c r="B204" s="21" t="n"/>
      <c r="C204" s="22" t="n"/>
      <c r="D204" s="23">
        <f>IFERROR(IF(B204="","",VLOOKUP(B204,'Setup - Materials'!$A$5:$D$304,2,0)),"")</f>
        <v/>
      </c>
      <c r="E204" s="22" t="n"/>
      <c r="F204" s="23">
        <f>IF(OR(C204="",E204=""),"",C204*E204)</f>
        <v/>
      </c>
      <c r="G204" s="21" t="n"/>
      <c r="H204" s="21" t="n"/>
    </row>
    <row r="205">
      <c r="A205" s="26" t="n"/>
      <c r="B205" s="21" t="n"/>
      <c r="C205" s="22" t="n"/>
      <c r="D205" s="23">
        <f>IFERROR(IF(B205="","",VLOOKUP(B205,'Setup - Materials'!$A$5:$D$304,2,0)),"")</f>
        <v/>
      </c>
      <c r="E205" s="22" t="n"/>
      <c r="F205" s="23">
        <f>IF(OR(C205="",E205=""),"",C205*E205)</f>
        <v/>
      </c>
      <c r="G205" s="21" t="n"/>
      <c r="H205" s="21" t="n"/>
    </row>
    <row r="206">
      <c r="A206" s="26" t="n"/>
      <c r="B206" s="21" t="n"/>
      <c r="C206" s="22" t="n"/>
      <c r="D206" s="23">
        <f>IFERROR(IF(B206="","",VLOOKUP(B206,'Setup - Materials'!$A$5:$D$304,2,0)),"")</f>
        <v/>
      </c>
      <c r="E206" s="22" t="n"/>
      <c r="F206" s="23">
        <f>IF(OR(C206="",E206=""),"",C206*E206)</f>
        <v/>
      </c>
      <c r="G206" s="21" t="n"/>
      <c r="H206" s="21" t="n"/>
    </row>
    <row r="207">
      <c r="A207" s="26" t="n"/>
      <c r="B207" s="21" t="n"/>
      <c r="C207" s="22" t="n"/>
      <c r="D207" s="23">
        <f>IFERROR(IF(B207="","",VLOOKUP(B207,'Setup - Materials'!$A$5:$D$304,2,0)),"")</f>
        <v/>
      </c>
      <c r="E207" s="22" t="n"/>
      <c r="F207" s="23">
        <f>IF(OR(C207="",E207=""),"",C207*E207)</f>
        <v/>
      </c>
      <c r="G207" s="21" t="n"/>
      <c r="H207" s="21" t="n"/>
    </row>
    <row r="208">
      <c r="A208" s="26" t="n"/>
      <c r="B208" s="21" t="n"/>
      <c r="C208" s="22" t="n"/>
      <c r="D208" s="23">
        <f>IFERROR(IF(B208="","",VLOOKUP(B208,'Setup - Materials'!$A$5:$D$304,2,0)),"")</f>
        <v/>
      </c>
      <c r="E208" s="22" t="n"/>
      <c r="F208" s="23">
        <f>IF(OR(C208="",E208=""),"",C208*E208)</f>
        <v/>
      </c>
      <c r="G208" s="21" t="n"/>
      <c r="H208" s="21" t="n"/>
    </row>
    <row r="209">
      <c r="A209" s="26" t="n"/>
      <c r="B209" s="21" t="n"/>
      <c r="C209" s="22" t="n"/>
      <c r="D209" s="23">
        <f>IFERROR(IF(B209="","",VLOOKUP(B209,'Setup - Materials'!$A$5:$D$304,2,0)),"")</f>
        <v/>
      </c>
      <c r="E209" s="22" t="n"/>
      <c r="F209" s="23">
        <f>IF(OR(C209="",E209=""),"",C209*E209)</f>
        <v/>
      </c>
      <c r="G209" s="21" t="n"/>
      <c r="H209" s="21" t="n"/>
    </row>
    <row r="210">
      <c r="A210" s="26" t="n"/>
      <c r="B210" s="21" t="n"/>
      <c r="C210" s="22" t="n"/>
      <c r="D210" s="23">
        <f>IFERROR(IF(B210="","",VLOOKUP(B210,'Setup - Materials'!$A$5:$D$304,2,0)),"")</f>
        <v/>
      </c>
      <c r="E210" s="22" t="n"/>
      <c r="F210" s="23">
        <f>IF(OR(C210="",E210=""),"",C210*E210)</f>
        <v/>
      </c>
      <c r="G210" s="21" t="n"/>
      <c r="H210" s="21" t="n"/>
    </row>
    <row r="211">
      <c r="A211" s="26" t="n"/>
      <c r="B211" s="21" t="n"/>
      <c r="C211" s="22" t="n"/>
      <c r="D211" s="23">
        <f>IFERROR(IF(B211="","",VLOOKUP(B211,'Setup - Materials'!$A$5:$D$304,2,0)),"")</f>
        <v/>
      </c>
      <c r="E211" s="22" t="n"/>
      <c r="F211" s="23">
        <f>IF(OR(C211="",E211=""),"",C211*E211)</f>
        <v/>
      </c>
      <c r="G211" s="21" t="n"/>
      <c r="H211" s="21" t="n"/>
    </row>
    <row r="212">
      <c r="A212" s="26" t="n"/>
      <c r="B212" s="21" t="n"/>
      <c r="C212" s="22" t="n"/>
      <c r="D212" s="23">
        <f>IFERROR(IF(B212="","",VLOOKUP(B212,'Setup - Materials'!$A$5:$D$304,2,0)),"")</f>
        <v/>
      </c>
      <c r="E212" s="22" t="n"/>
      <c r="F212" s="23">
        <f>IF(OR(C212="",E212=""),"",C212*E212)</f>
        <v/>
      </c>
      <c r="G212" s="21" t="n"/>
      <c r="H212" s="21" t="n"/>
    </row>
    <row r="213">
      <c r="A213" s="26" t="n"/>
      <c r="B213" s="21" t="n"/>
      <c r="C213" s="22" t="n"/>
      <c r="D213" s="23">
        <f>IFERROR(IF(B213="","",VLOOKUP(B213,'Setup - Materials'!$A$5:$D$304,2,0)),"")</f>
        <v/>
      </c>
      <c r="E213" s="22" t="n"/>
      <c r="F213" s="23">
        <f>IF(OR(C213="",E213=""),"",C213*E213)</f>
        <v/>
      </c>
      <c r="G213" s="21" t="n"/>
      <c r="H213" s="21" t="n"/>
    </row>
    <row r="214">
      <c r="A214" s="26" t="n"/>
      <c r="B214" s="21" t="n"/>
      <c r="C214" s="22" t="n"/>
      <c r="D214" s="23">
        <f>IFERROR(IF(B214="","",VLOOKUP(B214,'Setup - Materials'!$A$5:$D$304,2,0)),"")</f>
        <v/>
      </c>
      <c r="E214" s="22" t="n"/>
      <c r="F214" s="23">
        <f>IF(OR(C214="",E214=""),"",C214*E214)</f>
        <v/>
      </c>
      <c r="G214" s="21" t="n"/>
      <c r="H214" s="21" t="n"/>
    </row>
    <row r="215">
      <c r="A215" s="26" t="n"/>
      <c r="B215" s="21" t="n"/>
      <c r="C215" s="22" t="n"/>
      <c r="D215" s="23">
        <f>IFERROR(IF(B215="","",VLOOKUP(B215,'Setup - Materials'!$A$5:$D$304,2,0)),"")</f>
        <v/>
      </c>
      <c r="E215" s="22" t="n"/>
      <c r="F215" s="23">
        <f>IF(OR(C215="",E215=""),"",C215*E215)</f>
        <v/>
      </c>
      <c r="G215" s="21" t="n"/>
      <c r="H215" s="21" t="n"/>
    </row>
    <row r="216">
      <c r="A216" s="26" t="n"/>
      <c r="B216" s="21" t="n"/>
      <c r="C216" s="22" t="n"/>
      <c r="D216" s="23">
        <f>IFERROR(IF(B216="","",VLOOKUP(B216,'Setup - Materials'!$A$5:$D$304,2,0)),"")</f>
        <v/>
      </c>
      <c r="E216" s="22" t="n"/>
      <c r="F216" s="23">
        <f>IF(OR(C216="",E216=""),"",C216*E216)</f>
        <v/>
      </c>
      <c r="G216" s="21" t="n"/>
      <c r="H216" s="21" t="n"/>
    </row>
    <row r="217">
      <c r="A217" s="26" t="n"/>
      <c r="B217" s="21" t="n"/>
      <c r="C217" s="22" t="n"/>
      <c r="D217" s="23">
        <f>IFERROR(IF(B217="","",VLOOKUP(B217,'Setup - Materials'!$A$5:$D$304,2,0)),"")</f>
        <v/>
      </c>
      <c r="E217" s="22" t="n"/>
      <c r="F217" s="23">
        <f>IF(OR(C217="",E217=""),"",C217*E217)</f>
        <v/>
      </c>
      <c r="G217" s="21" t="n"/>
      <c r="H217" s="21" t="n"/>
    </row>
    <row r="218">
      <c r="A218" s="26" t="n"/>
      <c r="B218" s="21" t="n"/>
      <c r="C218" s="22" t="n"/>
      <c r="D218" s="23">
        <f>IFERROR(IF(B218="","",VLOOKUP(B218,'Setup - Materials'!$A$5:$D$304,2,0)),"")</f>
        <v/>
      </c>
      <c r="E218" s="22" t="n"/>
      <c r="F218" s="23">
        <f>IF(OR(C218="",E218=""),"",C218*E218)</f>
        <v/>
      </c>
      <c r="G218" s="21" t="n"/>
      <c r="H218" s="21" t="n"/>
    </row>
    <row r="219">
      <c r="A219" s="26" t="n"/>
      <c r="B219" s="21" t="n"/>
      <c r="C219" s="22" t="n"/>
      <c r="D219" s="23">
        <f>IFERROR(IF(B219="","",VLOOKUP(B219,'Setup - Materials'!$A$5:$D$304,2,0)),"")</f>
        <v/>
      </c>
      <c r="E219" s="22" t="n"/>
      <c r="F219" s="23">
        <f>IF(OR(C219="",E219=""),"",C219*E219)</f>
        <v/>
      </c>
      <c r="G219" s="21" t="n"/>
      <c r="H219" s="21" t="n"/>
    </row>
    <row r="220">
      <c r="A220" s="26" t="n"/>
      <c r="B220" s="21" t="n"/>
      <c r="C220" s="22" t="n"/>
      <c r="D220" s="23">
        <f>IFERROR(IF(B220="","",VLOOKUP(B220,'Setup - Materials'!$A$5:$D$304,2,0)),"")</f>
        <v/>
      </c>
      <c r="E220" s="22" t="n"/>
      <c r="F220" s="23">
        <f>IF(OR(C220="",E220=""),"",C220*E220)</f>
        <v/>
      </c>
      <c r="G220" s="21" t="n"/>
      <c r="H220" s="21" t="n"/>
    </row>
    <row r="221">
      <c r="A221" s="26" t="n"/>
      <c r="B221" s="21" t="n"/>
      <c r="C221" s="22" t="n"/>
      <c r="D221" s="23">
        <f>IFERROR(IF(B221="","",VLOOKUP(B221,'Setup - Materials'!$A$5:$D$304,2,0)),"")</f>
        <v/>
      </c>
      <c r="E221" s="22" t="n"/>
      <c r="F221" s="23">
        <f>IF(OR(C221="",E221=""),"",C221*E221)</f>
        <v/>
      </c>
      <c r="G221" s="21" t="n"/>
      <c r="H221" s="21" t="n"/>
    </row>
    <row r="222">
      <c r="A222" s="26" t="n"/>
      <c r="B222" s="21" t="n"/>
      <c r="C222" s="22" t="n"/>
      <c r="D222" s="23">
        <f>IFERROR(IF(B222="","",VLOOKUP(B222,'Setup - Materials'!$A$5:$D$304,2,0)),"")</f>
        <v/>
      </c>
      <c r="E222" s="22" t="n"/>
      <c r="F222" s="23">
        <f>IF(OR(C222="",E222=""),"",C222*E222)</f>
        <v/>
      </c>
      <c r="G222" s="21" t="n"/>
      <c r="H222" s="21" t="n"/>
    </row>
    <row r="223">
      <c r="A223" s="26" t="n"/>
      <c r="B223" s="21" t="n"/>
      <c r="C223" s="22" t="n"/>
      <c r="D223" s="23">
        <f>IFERROR(IF(B223="","",VLOOKUP(B223,'Setup - Materials'!$A$5:$D$304,2,0)),"")</f>
        <v/>
      </c>
      <c r="E223" s="22" t="n"/>
      <c r="F223" s="23">
        <f>IF(OR(C223="",E223=""),"",C223*E223)</f>
        <v/>
      </c>
      <c r="G223" s="21" t="n"/>
      <c r="H223" s="21" t="n"/>
    </row>
    <row r="224">
      <c r="A224" s="26" t="n"/>
      <c r="B224" s="21" t="n"/>
      <c r="C224" s="22" t="n"/>
      <c r="D224" s="23">
        <f>IFERROR(IF(B224="","",VLOOKUP(B224,'Setup - Materials'!$A$5:$D$304,2,0)),"")</f>
        <v/>
      </c>
      <c r="E224" s="22" t="n"/>
      <c r="F224" s="23">
        <f>IF(OR(C224="",E224=""),"",C224*E224)</f>
        <v/>
      </c>
      <c r="G224" s="21" t="n"/>
      <c r="H224" s="21" t="n"/>
    </row>
    <row r="225">
      <c r="A225" s="26" t="n"/>
      <c r="B225" s="21" t="n"/>
      <c r="C225" s="22" t="n"/>
      <c r="D225" s="23">
        <f>IFERROR(IF(B225="","",VLOOKUP(B225,'Setup - Materials'!$A$5:$D$304,2,0)),"")</f>
        <v/>
      </c>
      <c r="E225" s="22" t="n"/>
      <c r="F225" s="23">
        <f>IF(OR(C225="",E225=""),"",C225*E225)</f>
        <v/>
      </c>
      <c r="G225" s="21" t="n"/>
      <c r="H225" s="21" t="n"/>
    </row>
    <row r="226">
      <c r="A226" s="26" t="n"/>
      <c r="B226" s="21" t="n"/>
      <c r="C226" s="22" t="n"/>
      <c r="D226" s="23">
        <f>IFERROR(IF(B226="","",VLOOKUP(B226,'Setup - Materials'!$A$5:$D$304,2,0)),"")</f>
        <v/>
      </c>
      <c r="E226" s="22" t="n"/>
      <c r="F226" s="23">
        <f>IF(OR(C226="",E226=""),"",C226*E226)</f>
        <v/>
      </c>
      <c r="G226" s="21" t="n"/>
      <c r="H226" s="21" t="n"/>
    </row>
    <row r="227">
      <c r="A227" s="26" t="n"/>
      <c r="B227" s="21" t="n"/>
      <c r="C227" s="22" t="n"/>
      <c r="D227" s="23">
        <f>IFERROR(IF(B227="","",VLOOKUP(B227,'Setup - Materials'!$A$5:$D$304,2,0)),"")</f>
        <v/>
      </c>
      <c r="E227" s="22" t="n"/>
      <c r="F227" s="23">
        <f>IF(OR(C227="",E227=""),"",C227*E227)</f>
        <v/>
      </c>
      <c r="G227" s="21" t="n"/>
      <c r="H227" s="21" t="n"/>
    </row>
    <row r="228">
      <c r="A228" s="26" t="n"/>
      <c r="B228" s="21" t="n"/>
      <c r="C228" s="22" t="n"/>
      <c r="D228" s="23">
        <f>IFERROR(IF(B228="","",VLOOKUP(B228,'Setup - Materials'!$A$5:$D$304,2,0)),"")</f>
        <v/>
      </c>
      <c r="E228" s="22" t="n"/>
      <c r="F228" s="23">
        <f>IF(OR(C228="",E228=""),"",C228*E228)</f>
        <v/>
      </c>
      <c r="G228" s="21" t="n"/>
      <c r="H228" s="21" t="n"/>
    </row>
    <row r="229">
      <c r="A229" s="26" t="n"/>
      <c r="B229" s="21" t="n"/>
      <c r="C229" s="22" t="n"/>
      <c r="D229" s="23">
        <f>IFERROR(IF(B229="","",VLOOKUP(B229,'Setup - Materials'!$A$5:$D$304,2,0)),"")</f>
        <v/>
      </c>
      <c r="E229" s="22" t="n"/>
      <c r="F229" s="23">
        <f>IF(OR(C229="",E229=""),"",C229*E229)</f>
        <v/>
      </c>
      <c r="G229" s="21" t="n"/>
      <c r="H229" s="21" t="n"/>
    </row>
    <row r="230">
      <c r="A230" s="26" t="n"/>
      <c r="B230" s="21" t="n"/>
      <c r="C230" s="22" t="n"/>
      <c r="D230" s="23">
        <f>IFERROR(IF(B230="","",VLOOKUP(B230,'Setup - Materials'!$A$5:$D$304,2,0)),"")</f>
        <v/>
      </c>
      <c r="E230" s="22" t="n"/>
      <c r="F230" s="23">
        <f>IF(OR(C230="",E230=""),"",C230*E230)</f>
        <v/>
      </c>
      <c r="G230" s="21" t="n"/>
      <c r="H230" s="21" t="n"/>
    </row>
    <row r="231">
      <c r="A231" s="26" t="n"/>
      <c r="B231" s="21" t="n"/>
      <c r="C231" s="22" t="n"/>
      <c r="D231" s="23">
        <f>IFERROR(IF(B231="","",VLOOKUP(B231,'Setup - Materials'!$A$5:$D$304,2,0)),"")</f>
        <v/>
      </c>
      <c r="E231" s="22" t="n"/>
      <c r="F231" s="23">
        <f>IF(OR(C231="",E231=""),"",C231*E231)</f>
        <v/>
      </c>
      <c r="G231" s="21" t="n"/>
      <c r="H231" s="21" t="n"/>
    </row>
    <row r="232">
      <c r="A232" s="26" t="n"/>
      <c r="B232" s="21" t="n"/>
      <c r="C232" s="22" t="n"/>
      <c r="D232" s="23">
        <f>IFERROR(IF(B232="","",VLOOKUP(B232,'Setup - Materials'!$A$5:$D$304,2,0)),"")</f>
        <v/>
      </c>
      <c r="E232" s="22" t="n"/>
      <c r="F232" s="23">
        <f>IF(OR(C232="",E232=""),"",C232*E232)</f>
        <v/>
      </c>
      <c r="G232" s="21" t="n"/>
      <c r="H232" s="21" t="n"/>
    </row>
    <row r="233">
      <c r="A233" s="26" t="n"/>
      <c r="B233" s="21" t="n"/>
      <c r="C233" s="22" t="n"/>
      <c r="D233" s="23">
        <f>IFERROR(IF(B233="","",VLOOKUP(B233,'Setup - Materials'!$A$5:$D$304,2,0)),"")</f>
        <v/>
      </c>
      <c r="E233" s="22" t="n"/>
      <c r="F233" s="23">
        <f>IF(OR(C233="",E233=""),"",C233*E233)</f>
        <v/>
      </c>
      <c r="G233" s="21" t="n"/>
      <c r="H233" s="21" t="n"/>
    </row>
    <row r="234">
      <c r="A234" s="26" t="n"/>
      <c r="B234" s="21" t="n"/>
      <c r="C234" s="22" t="n"/>
      <c r="D234" s="23">
        <f>IFERROR(IF(B234="","",VLOOKUP(B234,'Setup - Materials'!$A$5:$D$304,2,0)),"")</f>
        <v/>
      </c>
      <c r="E234" s="22" t="n"/>
      <c r="F234" s="23">
        <f>IF(OR(C234="",E234=""),"",C234*E234)</f>
        <v/>
      </c>
      <c r="G234" s="21" t="n"/>
      <c r="H234" s="21" t="n"/>
    </row>
    <row r="235">
      <c r="A235" s="26" t="n"/>
      <c r="B235" s="21" t="n"/>
      <c r="C235" s="22" t="n"/>
      <c r="D235" s="23">
        <f>IFERROR(IF(B235="","",VLOOKUP(B235,'Setup - Materials'!$A$5:$D$304,2,0)),"")</f>
        <v/>
      </c>
      <c r="E235" s="22" t="n"/>
      <c r="F235" s="23">
        <f>IF(OR(C235="",E235=""),"",C235*E235)</f>
        <v/>
      </c>
      <c r="G235" s="21" t="n"/>
      <c r="H235" s="21" t="n"/>
    </row>
    <row r="236">
      <c r="A236" s="26" t="n"/>
      <c r="B236" s="21" t="n"/>
      <c r="C236" s="22" t="n"/>
      <c r="D236" s="23">
        <f>IFERROR(IF(B236="","",VLOOKUP(B236,'Setup - Materials'!$A$5:$D$304,2,0)),"")</f>
        <v/>
      </c>
      <c r="E236" s="22" t="n"/>
      <c r="F236" s="23">
        <f>IF(OR(C236="",E236=""),"",C236*E236)</f>
        <v/>
      </c>
      <c r="G236" s="21" t="n"/>
      <c r="H236" s="21" t="n"/>
    </row>
    <row r="237">
      <c r="A237" s="26" t="n"/>
      <c r="B237" s="21" t="n"/>
      <c r="C237" s="22" t="n"/>
      <c r="D237" s="23">
        <f>IFERROR(IF(B237="","",VLOOKUP(B237,'Setup - Materials'!$A$5:$D$304,2,0)),"")</f>
        <v/>
      </c>
      <c r="E237" s="22" t="n"/>
      <c r="F237" s="23">
        <f>IF(OR(C237="",E237=""),"",C237*E237)</f>
        <v/>
      </c>
      <c r="G237" s="21" t="n"/>
      <c r="H237" s="21" t="n"/>
    </row>
    <row r="238">
      <c r="A238" s="26" t="n"/>
      <c r="B238" s="21" t="n"/>
      <c r="C238" s="22" t="n"/>
      <c r="D238" s="23">
        <f>IFERROR(IF(B238="","",VLOOKUP(B238,'Setup - Materials'!$A$5:$D$304,2,0)),"")</f>
        <v/>
      </c>
      <c r="E238" s="22" t="n"/>
      <c r="F238" s="23">
        <f>IF(OR(C238="",E238=""),"",C238*E238)</f>
        <v/>
      </c>
      <c r="G238" s="21" t="n"/>
      <c r="H238" s="21" t="n"/>
    </row>
    <row r="239">
      <c r="A239" s="26" t="n"/>
      <c r="B239" s="21" t="n"/>
      <c r="C239" s="22" t="n"/>
      <c r="D239" s="23">
        <f>IFERROR(IF(B239="","",VLOOKUP(B239,'Setup - Materials'!$A$5:$D$304,2,0)),"")</f>
        <v/>
      </c>
      <c r="E239" s="22" t="n"/>
      <c r="F239" s="23">
        <f>IF(OR(C239="",E239=""),"",C239*E239)</f>
        <v/>
      </c>
      <c r="G239" s="21" t="n"/>
      <c r="H239" s="21" t="n"/>
    </row>
    <row r="240">
      <c r="A240" s="26" t="n"/>
      <c r="B240" s="21" t="n"/>
      <c r="C240" s="22" t="n"/>
      <c r="D240" s="23">
        <f>IFERROR(IF(B240="","",VLOOKUP(B240,'Setup - Materials'!$A$5:$D$304,2,0)),"")</f>
        <v/>
      </c>
      <c r="E240" s="22" t="n"/>
      <c r="F240" s="23">
        <f>IF(OR(C240="",E240=""),"",C240*E240)</f>
        <v/>
      </c>
      <c r="G240" s="21" t="n"/>
      <c r="H240" s="21" t="n"/>
    </row>
    <row r="241">
      <c r="A241" s="26" t="n"/>
      <c r="B241" s="21" t="n"/>
      <c r="C241" s="22" t="n"/>
      <c r="D241" s="23">
        <f>IFERROR(IF(B241="","",VLOOKUP(B241,'Setup - Materials'!$A$5:$D$304,2,0)),"")</f>
        <v/>
      </c>
      <c r="E241" s="22" t="n"/>
      <c r="F241" s="23">
        <f>IF(OR(C241="",E241=""),"",C241*E241)</f>
        <v/>
      </c>
      <c r="G241" s="21" t="n"/>
      <c r="H241" s="21" t="n"/>
    </row>
    <row r="242">
      <c r="A242" s="26" t="n"/>
      <c r="B242" s="21" t="n"/>
      <c r="C242" s="22" t="n"/>
      <c r="D242" s="23">
        <f>IFERROR(IF(B242="","",VLOOKUP(B242,'Setup - Materials'!$A$5:$D$304,2,0)),"")</f>
        <v/>
      </c>
      <c r="E242" s="22" t="n"/>
      <c r="F242" s="23">
        <f>IF(OR(C242="",E242=""),"",C242*E242)</f>
        <v/>
      </c>
      <c r="G242" s="21" t="n"/>
      <c r="H242" s="21" t="n"/>
    </row>
    <row r="243">
      <c r="A243" s="26" t="n"/>
      <c r="B243" s="21" t="n"/>
      <c r="C243" s="22" t="n"/>
      <c r="D243" s="23">
        <f>IFERROR(IF(B243="","",VLOOKUP(B243,'Setup - Materials'!$A$5:$D$304,2,0)),"")</f>
        <v/>
      </c>
      <c r="E243" s="22" t="n"/>
      <c r="F243" s="23">
        <f>IF(OR(C243="",E243=""),"",C243*E243)</f>
        <v/>
      </c>
      <c r="G243" s="21" t="n"/>
      <c r="H243" s="21" t="n"/>
    </row>
    <row r="244">
      <c r="A244" s="26" t="n"/>
      <c r="B244" s="21" t="n"/>
      <c r="C244" s="22" t="n"/>
      <c r="D244" s="23">
        <f>IFERROR(IF(B244="","",VLOOKUP(B244,'Setup - Materials'!$A$5:$D$304,2,0)),"")</f>
        <v/>
      </c>
      <c r="E244" s="22" t="n"/>
      <c r="F244" s="23">
        <f>IF(OR(C244="",E244=""),"",C244*E244)</f>
        <v/>
      </c>
      <c r="G244" s="21" t="n"/>
      <c r="H244" s="21" t="n"/>
    </row>
    <row r="245">
      <c r="A245" s="26" t="n"/>
      <c r="B245" s="21" t="n"/>
      <c r="C245" s="22" t="n"/>
      <c r="D245" s="23">
        <f>IFERROR(IF(B245="","",VLOOKUP(B245,'Setup - Materials'!$A$5:$D$304,2,0)),"")</f>
        <v/>
      </c>
      <c r="E245" s="22" t="n"/>
      <c r="F245" s="23">
        <f>IF(OR(C245="",E245=""),"",C245*E245)</f>
        <v/>
      </c>
      <c r="G245" s="21" t="n"/>
      <c r="H245" s="21" t="n"/>
    </row>
    <row r="246">
      <c r="A246" s="26" t="n"/>
      <c r="B246" s="21" t="n"/>
      <c r="C246" s="22" t="n"/>
      <c r="D246" s="23">
        <f>IFERROR(IF(B246="","",VLOOKUP(B246,'Setup - Materials'!$A$5:$D$304,2,0)),"")</f>
        <v/>
      </c>
      <c r="E246" s="22" t="n"/>
      <c r="F246" s="23">
        <f>IF(OR(C246="",E246=""),"",C246*E246)</f>
        <v/>
      </c>
      <c r="G246" s="21" t="n"/>
      <c r="H246" s="21" t="n"/>
    </row>
    <row r="247">
      <c r="A247" s="26" t="n"/>
      <c r="B247" s="21" t="n"/>
      <c r="C247" s="22" t="n"/>
      <c r="D247" s="23">
        <f>IFERROR(IF(B247="","",VLOOKUP(B247,'Setup - Materials'!$A$5:$D$304,2,0)),"")</f>
        <v/>
      </c>
      <c r="E247" s="22" t="n"/>
      <c r="F247" s="23">
        <f>IF(OR(C247="",E247=""),"",C247*E247)</f>
        <v/>
      </c>
      <c r="G247" s="21" t="n"/>
      <c r="H247" s="21" t="n"/>
    </row>
    <row r="248">
      <c r="A248" s="26" t="n"/>
      <c r="B248" s="21" t="n"/>
      <c r="C248" s="22" t="n"/>
      <c r="D248" s="23">
        <f>IFERROR(IF(B248="","",VLOOKUP(B248,'Setup - Materials'!$A$5:$D$304,2,0)),"")</f>
        <v/>
      </c>
      <c r="E248" s="22" t="n"/>
      <c r="F248" s="23">
        <f>IF(OR(C248="",E248=""),"",C248*E248)</f>
        <v/>
      </c>
      <c r="G248" s="21" t="n"/>
      <c r="H248" s="21" t="n"/>
    </row>
    <row r="249">
      <c r="A249" s="26" t="n"/>
      <c r="B249" s="21" t="n"/>
      <c r="C249" s="22" t="n"/>
      <c r="D249" s="23">
        <f>IFERROR(IF(B249="","",VLOOKUP(B249,'Setup - Materials'!$A$5:$D$304,2,0)),"")</f>
        <v/>
      </c>
      <c r="E249" s="22" t="n"/>
      <c r="F249" s="23">
        <f>IF(OR(C249="",E249=""),"",C249*E249)</f>
        <v/>
      </c>
      <c r="G249" s="21" t="n"/>
      <c r="H249" s="21" t="n"/>
    </row>
    <row r="250">
      <c r="A250" s="26" t="n"/>
      <c r="B250" s="21" t="n"/>
      <c r="C250" s="22" t="n"/>
      <c r="D250" s="23">
        <f>IFERROR(IF(B250="","",VLOOKUP(B250,'Setup - Materials'!$A$5:$D$304,2,0)),"")</f>
        <v/>
      </c>
      <c r="E250" s="22" t="n"/>
      <c r="F250" s="23">
        <f>IF(OR(C250="",E250=""),"",C250*E250)</f>
        <v/>
      </c>
      <c r="G250" s="21" t="n"/>
      <c r="H250" s="21" t="n"/>
    </row>
    <row r="251">
      <c r="A251" s="26" t="n"/>
      <c r="B251" s="21" t="n"/>
      <c r="C251" s="22" t="n"/>
      <c r="D251" s="23">
        <f>IFERROR(IF(B251="","",VLOOKUP(B251,'Setup - Materials'!$A$5:$D$304,2,0)),"")</f>
        <v/>
      </c>
      <c r="E251" s="22" t="n"/>
      <c r="F251" s="23">
        <f>IF(OR(C251="",E251=""),"",C251*E251)</f>
        <v/>
      </c>
      <c r="G251" s="21" t="n"/>
      <c r="H251" s="21" t="n"/>
    </row>
    <row r="252">
      <c r="A252" s="26" t="n"/>
      <c r="B252" s="21" t="n"/>
      <c r="C252" s="22" t="n"/>
      <c r="D252" s="23">
        <f>IFERROR(IF(B252="","",VLOOKUP(B252,'Setup - Materials'!$A$5:$D$304,2,0)),"")</f>
        <v/>
      </c>
      <c r="E252" s="22" t="n"/>
      <c r="F252" s="23">
        <f>IF(OR(C252="",E252=""),"",C252*E252)</f>
        <v/>
      </c>
      <c r="G252" s="21" t="n"/>
      <c r="H252" s="21" t="n"/>
    </row>
    <row r="253">
      <c r="A253" s="26" t="n"/>
      <c r="B253" s="21" t="n"/>
      <c r="C253" s="22" t="n"/>
      <c r="D253" s="23">
        <f>IFERROR(IF(B253="","",VLOOKUP(B253,'Setup - Materials'!$A$5:$D$304,2,0)),"")</f>
        <v/>
      </c>
      <c r="E253" s="22" t="n"/>
      <c r="F253" s="23">
        <f>IF(OR(C253="",E253=""),"",C253*E253)</f>
        <v/>
      </c>
      <c r="G253" s="21" t="n"/>
      <c r="H253" s="21" t="n"/>
    </row>
    <row r="254">
      <c r="A254" s="26" t="n"/>
      <c r="B254" s="21" t="n"/>
      <c r="C254" s="22" t="n"/>
      <c r="D254" s="23">
        <f>IFERROR(IF(B254="","",VLOOKUP(B254,'Setup - Materials'!$A$5:$D$304,2,0)),"")</f>
        <v/>
      </c>
      <c r="E254" s="22" t="n"/>
      <c r="F254" s="23">
        <f>IF(OR(C254="",E254=""),"",C254*E254)</f>
        <v/>
      </c>
      <c r="G254" s="21" t="n"/>
      <c r="H254" s="21" t="n"/>
    </row>
    <row r="255">
      <c r="A255" s="26" t="n"/>
      <c r="B255" s="21" t="n"/>
      <c r="C255" s="22" t="n"/>
      <c r="D255" s="23">
        <f>IFERROR(IF(B255="","",VLOOKUP(B255,'Setup - Materials'!$A$5:$D$304,2,0)),"")</f>
        <v/>
      </c>
      <c r="E255" s="22" t="n"/>
      <c r="F255" s="23">
        <f>IF(OR(C255="",E255=""),"",C255*E255)</f>
        <v/>
      </c>
      <c r="G255" s="21" t="n"/>
      <c r="H255" s="21" t="n"/>
    </row>
    <row r="256">
      <c r="A256" s="26" t="n"/>
      <c r="B256" s="21" t="n"/>
      <c r="C256" s="22" t="n"/>
      <c r="D256" s="23">
        <f>IFERROR(IF(B256="","",VLOOKUP(B256,'Setup - Materials'!$A$5:$D$304,2,0)),"")</f>
        <v/>
      </c>
      <c r="E256" s="22" t="n"/>
      <c r="F256" s="23">
        <f>IF(OR(C256="",E256=""),"",C256*E256)</f>
        <v/>
      </c>
      <c r="G256" s="21" t="n"/>
      <c r="H256" s="21" t="n"/>
    </row>
    <row r="257">
      <c r="A257" s="26" t="n"/>
      <c r="B257" s="21" t="n"/>
      <c r="C257" s="22" t="n"/>
      <c r="D257" s="23">
        <f>IFERROR(IF(B257="","",VLOOKUP(B257,'Setup - Materials'!$A$5:$D$304,2,0)),"")</f>
        <v/>
      </c>
      <c r="E257" s="22" t="n"/>
      <c r="F257" s="23">
        <f>IF(OR(C257="",E257=""),"",C257*E257)</f>
        <v/>
      </c>
      <c r="G257" s="21" t="n"/>
      <c r="H257" s="21" t="n"/>
    </row>
    <row r="258">
      <c r="A258" s="26" t="n"/>
      <c r="B258" s="21" t="n"/>
      <c r="C258" s="22" t="n"/>
      <c r="D258" s="23">
        <f>IFERROR(IF(B258="","",VLOOKUP(B258,'Setup - Materials'!$A$5:$D$304,2,0)),"")</f>
        <v/>
      </c>
      <c r="E258" s="22" t="n"/>
      <c r="F258" s="23">
        <f>IF(OR(C258="",E258=""),"",C258*E258)</f>
        <v/>
      </c>
      <c r="G258" s="21" t="n"/>
      <c r="H258" s="21" t="n"/>
    </row>
    <row r="259">
      <c r="A259" s="26" t="n"/>
      <c r="B259" s="21" t="n"/>
      <c r="C259" s="22" t="n"/>
      <c r="D259" s="23">
        <f>IFERROR(IF(B259="","",VLOOKUP(B259,'Setup - Materials'!$A$5:$D$304,2,0)),"")</f>
        <v/>
      </c>
      <c r="E259" s="22" t="n"/>
      <c r="F259" s="23">
        <f>IF(OR(C259="",E259=""),"",C259*E259)</f>
        <v/>
      </c>
      <c r="G259" s="21" t="n"/>
      <c r="H259" s="21" t="n"/>
    </row>
    <row r="260">
      <c r="A260" s="26" t="n"/>
      <c r="B260" s="21" t="n"/>
      <c r="C260" s="22" t="n"/>
      <c r="D260" s="23">
        <f>IFERROR(IF(B260="","",VLOOKUP(B260,'Setup - Materials'!$A$5:$D$304,2,0)),"")</f>
        <v/>
      </c>
      <c r="E260" s="22" t="n"/>
      <c r="F260" s="23">
        <f>IF(OR(C260="",E260=""),"",C260*E260)</f>
        <v/>
      </c>
      <c r="G260" s="21" t="n"/>
      <c r="H260" s="21" t="n"/>
    </row>
    <row r="261">
      <c r="A261" s="26" t="n"/>
      <c r="B261" s="21" t="n"/>
      <c r="C261" s="22" t="n"/>
      <c r="D261" s="23">
        <f>IFERROR(IF(B261="","",VLOOKUP(B261,'Setup - Materials'!$A$5:$D$304,2,0)),"")</f>
        <v/>
      </c>
      <c r="E261" s="22" t="n"/>
      <c r="F261" s="23">
        <f>IF(OR(C261="",E261=""),"",C261*E261)</f>
        <v/>
      </c>
      <c r="G261" s="21" t="n"/>
      <c r="H261" s="21" t="n"/>
    </row>
    <row r="262">
      <c r="A262" s="26" t="n"/>
      <c r="B262" s="21" t="n"/>
      <c r="C262" s="22" t="n"/>
      <c r="D262" s="23">
        <f>IFERROR(IF(B262="","",VLOOKUP(B262,'Setup - Materials'!$A$5:$D$304,2,0)),"")</f>
        <v/>
      </c>
      <c r="E262" s="22" t="n"/>
      <c r="F262" s="23">
        <f>IF(OR(C262="",E262=""),"",C262*E262)</f>
        <v/>
      </c>
      <c r="G262" s="21" t="n"/>
      <c r="H262" s="21" t="n"/>
    </row>
    <row r="263">
      <c r="A263" s="26" t="n"/>
      <c r="B263" s="21" t="n"/>
      <c r="C263" s="22" t="n"/>
      <c r="D263" s="23">
        <f>IFERROR(IF(B263="","",VLOOKUP(B263,'Setup - Materials'!$A$5:$D$304,2,0)),"")</f>
        <v/>
      </c>
      <c r="E263" s="22" t="n"/>
      <c r="F263" s="23">
        <f>IF(OR(C263="",E263=""),"",C263*E263)</f>
        <v/>
      </c>
      <c r="G263" s="21" t="n"/>
      <c r="H263" s="21" t="n"/>
    </row>
    <row r="264">
      <c r="A264" s="26" t="n"/>
      <c r="B264" s="21" t="n"/>
      <c r="C264" s="22" t="n"/>
      <c r="D264" s="23">
        <f>IFERROR(IF(B264="","",VLOOKUP(B264,'Setup - Materials'!$A$5:$D$304,2,0)),"")</f>
        <v/>
      </c>
      <c r="E264" s="22" t="n"/>
      <c r="F264" s="23">
        <f>IF(OR(C264="",E264=""),"",C264*E264)</f>
        <v/>
      </c>
      <c r="G264" s="21" t="n"/>
      <c r="H264" s="21" t="n"/>
    </row>
    <row r="265">
      <c r="A265" s="26" t="n"/>
      <c r="B265" s="21" t="n"/>
      <c r="C265" s="22" t="n"/>
      <c r="D265" s="23">
        <f>IFERROR(IF(B265="","",VLOOKUP(B265,'Setup - Materials'!$A$5:$D$304,2,0)),"")</f>
        <v/>
      </c>
      <c r="E265" s="22" t="n"/>
      <c r="F265" s="23">
        <f>IF(OR(C265="",E265=""),"",C265*E265)</f>
        <v/>
      </c>
      <c r="G265" s="21" t="n"/>
      <c r="H265" s="21" t="n"/>
    </row>
    <row r="266">
      <c r="A266" s="26" t="n"/>
      <c r="B266" s="21" t="n"/>
      <c r="C266" s="22" t="n"/>
      <c r="D266" s="23">
        <f>IFERROR(IF(B266="","",VLOOKUP(B266,'Setup - Materials'!$A$5:$D$304,2,0)),"")</f>
        <v/>
      </c>
      <c r="E266" s="22" t="n"/>
      <c r="F266" s="23">
        <f>IF(OR(C266="",E266=""),"",C266*E266)</f>
        <v/>
      </c>
      <c r="G266" s="21" t="n"/>
      <c r="H266" s="21" t="n"/>
    </row>
    <row r="267">
      <c r="A267" s="26" t="n"/>
      <c r="B267" s="21" t="n"/>
      <c r="C267" s="22" t="n"/>
      <c r="D267" s="23">
        <f>IFERROR(IF(B267="","",VLOOKUP(B267,'Setup - Materials'!$A$5:$D$304,2,0)),"")</f>
        <v/>
      </c>
      <c r="E267" s="22" t="n"/>
      <c r="F267" s="23">
        <f>IF(OR(C267="",E267=""),"",C267*E267)</f>
        <v/>
      </c>
      <c r="G267" s="21" t="n"/>
      <c r="H267" s="21" t="n"/>
    </row>
    <row r="268">
      <c r="A268" s="26" t="n"/>
      <c r="B268" s="21" t="n"/>
      <c r="C268" s="22" t="n"/>
      <c r="D268" s="23">
        <f>IFERROR(IF(B268="","",VLOOKUP(B268,'Setup - Materials'!$A$5:$D$304,2,0)),"")</f>
        <v/>
      </c>
      <c r="E268" s="22" t="n"/>
      <c r="F268" s="23">
        <f>IF(OR(C268="",E268=""),"",C268*E268)</f>
        <v/>
      </c>
      <c r="G268" s="21" t="n"/>
      <c r="H268" s="21" t="n"/>
    </row>
    <row r="269">
      <c r="A269" s="26" t="n"/>
      <c r="B269" s="21" t="n"/>
      <c r="C269" s="22" t="n"/>
      <c r="D269" s="23">
        <f>IFERROR(IF(B269="","",VLOOKUP(B269,'Setup - Materials'!$A$5:$D$304,2,0)),"")</f>
        <v/>
      </c>
      <c r="E269" s="22" t="n"/>
      <c r="F269" s="23">
        <f>IF(OR(C269="",E269=""),"",C269*E269)</f>
        <v/>
      </c>
      <c r="G269" s="21" t="n"/>
      <c r="H269" s="21" t="n"/>
    </row>
    <row r="270">
      <c r="A270" s="26" t="n"/>
      <c r="B270" s="21" t="n"/>
      <c r="C270" s="22" t="n"/>
      <c r="D270" s="23">
        <f>IFERROR(IF(B270="","",VLOOKUP(B270,'Setup - Materials'!$A$5:$D$304,2,0)),"")</f>
        <v/>
      </c>
      <c r="E270" s="22" t="n"/>
      <c r="F270" s="23">
        <f>IF(OR(C270="",E270=""),"",C270*E270)</f>
        <v/>
      </c>
      <c r="G270" s="21" t="n"/>
      <c r="H270" s="21" t="n"/>
    </row>
    <row r="271">
      <c r="A271" s="26" t="n"/>
      <c r="B271" s="21" t="n"/>
      <c r="C271" s="22" t="n"/>
      <c r="D271" s="23">
        <f>IFERROR(IF(B271="","",VLOOKUP(B271,'Setup - Materials'!$A$5:$D$304,2,0)),"")</f>
        <v/>
      </c>
      <c r="E271" s="22" t="n"/>
      <c r="F271" s="23">
        <f>IF(OR(C271="",E271=""),"",C271*E271)</f>
        <v/>
      </c>
      <c r="G271" s="21" t="n"/>
      <c r="H271" s="21" t="n"/>
    </row>
    <row r="272">
      <c r="A272" s="26" t="n"/>
      <c r="B272" s="21" t="n"/>
      <c r="C272" s="22" t="n"/>
      <c r="D272" s="23">
        <f>IFERROR(IF(B272="","",VLOOKUP(B272,'Setup - Materials'!$A$5:$D$304,2,0)),"")</f>
        <v/>
      </c>
      <c r="E272" s="22" t="n"/>
      <c r="F272" s="23">
        <f>IF(OR(C272="",E272=""),"",C272*E272)</f>
        <v/>
      </c>
      <c r="G272" s="21" t="n"/>
      <c r="H272" s="21" t="n"/>
    </row>
    <row r="273">
      <c r="A273" s="26" t="n"/>
      <c r="B273" s="21" t="n"/>
      <c r="C273" s="22" t="n"/>
      <c r="D273" s="23">
        <f>IFERROR(IF(B273="","",VLOOKUP(B273,'Setup - Materials'!$A$5:$D$304,2,0)),"")</f>
        <v/>
      </c>
      <c r="E273" s="22" t="n"/>
      <c r="F273" s="23">
        <f>IF(OR(C273="",E273=""),"",C273*E273)</f>
        <v/>
      </c>
      <c r="G273" s="21" t="n"/>
      <c r="H273" s="21" t="n"/>
    </row>
    <row r="274">
      <c r="A274" s="26" t="n"/>
      <c r="B274" s="21" t="n"/>
      <c r="C274" s="22" t="n"/>
      <c r="D274" s="23">
        <f>IFERROR(IF(B274="","",VLOOKUP(B274,'Setup - Materials'!$A$5:$D$304,2,0)),"")</f>
        <v/>
      </c>
      <c r="E274" s="22" t="n"/>
      <c r="F274" s="23">
        <f>IF(OR(C274="",E274=""),"",C274*E274)</f>
        <v/>
      </c>
      <c r="G274" s="21" t="n"/>
      <c r="H274" s="21" t="n"/>
    </row>
    <row r="275">
      <c r="A275" s="26" t="n"/>
      <c r="B275" s="21" t="n"/>
      <c r="C275" s="22" t="n"/>
      <c r="D275" s="23">
        <f>IFERROR(IF(B275="","",VLOOKUP(B275,'Setup - Materials'!$A$5:$D$304,2,0)),"")</f>
        <v/>
      </c>
      <c r="E275" s="22" t="n"/>
      <c r="F275" s="23">
        <f>IF(OR(C275="",E275=""),"",C275*E275)</f>
        <v/>
      </c>
      <c r="G275" s="21" t="n"/>
      <c r="H275" s="21" t="n"/>
    </row>
    <row r="276">
      <c r="A276" s="26" t="n"/>
      <c r="B276" s="21" t="n"/>
      <c r="C276" s="22" t="n"/>
      <c r="D276" s="23">
        <f>IFERROR(IF(B276="","",VLOOKUP(B276,'Setup - Materials'!$A$5:$D$304,2,0)),"")</f>
        <v/>
      </c>
      <c r="E276" s="22" t="n"/>
      <c r="F276" s="23">
        <f>IF(OR(C276="",E276=""),"",C276*E276)</f>
        <v/>
      </c>
      <c r="G276" s="21" t="n"/>
      <c r="H276" s="21" t="n"/>
    </row>
    <row r="277">
      <c r="A277" s="26" t="n"/>
      <c r="B277" s="21" t="n"/>
      <c r="C277" s="22" t="n"/>
      <c r="D277" s="23">
        <f>IFERROR(IF(B277="","",VLOOKUP(B277,'Setup - Materials'!$A$5:$D$304,2,0)),"")</f>
        <v/>
      </c>
      <c r="E277" s="22" t="n"/>
      <c r="F277" s="23">
        <f>IF(OR(C277="",E277=""),"",C277*E277)</f>
        <v/>
      </c>
      <c r="G277" s="21" t="n"/>
      <c r="H277" s="21" t="n"/>
    </row>
    <row r="278">
      <c r="A278" s="26" t="n"/>
      <c r="B278" s="21" t="n"/>
      <c r="C278" s="22" t="n"/>
      <c r="D278" s="23">
        <f>IFERROR(IF(B278="","",VLOOKUP(B278,'Setup - Materials'!$A$5:$D$304,2,0)),"")</f>
        <v/>
      </c>
      <c r="E278" s="22" t="n"/>
      <c r="F278" s="23">
        <f>IF(OR(C278="",E278=""),"",C278*E278)</f>
        <v/>
      </c>
      <c r="G278" s="21" t="n"/>
      <c r="H278" s="21" t="n"/>
    </row>
    <row r="279">
      <c r="A279" s="26" t="n"/>
      <c r="B279" s="21" t="n"/>
      <c r="C279" s="22" t="n"/>
      <c r="D279" s="23">
        <f>IFERROR(IF(B279="","",VLOOKUP(B279,'Setup - Materials'!$A$5:$D$304,2,0)),"")</f>
        <v/>
      </c>
      <c r="E279" s="22" t="n"/>
      <c r="F279" s="23">
        <f>IF(OR(C279="",E279=""),"",C279*E279)</f>
        <v/>
      </c>
      <c r="G279" s="21" t="n"/>
      <c r="H279" s="21" t="n"/>
    </row>
    <row r="280">
      <c r="A280" s="26" t="n"/>
      <c r="B280" s="21" t="n"/>
      <c r="C280" s="22" t="n"/>
      <c r="D280" s="23">
        <f>IFERROR(IF(B280="","",VLOOKUP(B280,'Setup - Materials'!$A$5:$D$304,2,0)),"")</f>
        <v/>
      </c>
      <c r="E280" s="22" t="n"/>
      <c r="F280" s="23">
        <f>IF(OR(C280="",E280=""),"",C280*E280)</f>
        <v/>
      </c>
      <c r="G280" s="21" t="n"/>
      <c r="H280" s="21" t="n"/>
    </row>
    <row r="281">
      <c r="A281" s="26" t="n"/>
      <c r="B281" s="21" t="n"/>
      <c r="C281" s="22" t="n"/>
      <c r="D281" s="23">
        <f>IFERROR(IF(B281="","",VLOOKUP(B281,'Setup - Materials'!$A$5:$D$304,2,0)),"")</f>
        <v/>
      </c>
      <c r="E281" s="22" t="n"/>
      <c r="F281" s="23">
        <f>IF(OR(C281="",E281=""),"",C281*E281)</f>
        <v/>
      </c>
      <c r="G281" s="21" t="n"/>
      <c r="H281" s="21" t="n"/>
    </row>
    <row r="282">
      <c r="A282" s="26" t="n"/>
      <c r="B282" s="21" t="n"/>
      <c r="C282" s="22" t="n"/>
      <c r="D282" s="23">
        <f>IFERROR(IF(B282="","",VLOOKUP(B282,'Setup - Materials'!$A$5:$D$304,2,0)),"")</f>
        <v/>
      </c>
      <c r="E282" s="22" t="n"/>
      <c r="F282" s="23">
        <f>IF(OR(C282="",E282=""),"",C282*E282)</f>
        <v/>
      </c>
      <c r="G282" s="21" t="n"/>
      <c r="H282" s="21" t="n"/>
    </row>
    <row r="283">
      <c r="A283" s="26" t="n"/>
      <c r="B283" s="21" t="n"/>
      <c r="C283" s="22" t="n"/>
      <c r="D283" s="23">
        <f>IFERROR(IF(B283="","",VLOOKUP(B283,'Setup - Materials'!$A$5:$D$304,2,0)),"")</f>
        <v/>
      </c>
      <c r="E283" s="22" t="n"/>
      <c r="F283" s="23">
        <f>IF(OR(C283="",E283=""),"",C283*E283)</f>
        <v/>
      </c>
      <c r="G283" s="21" t="n"/>
      <c r="H283" s="21" t="n"/>
    </row>
    <row r="284">
      <c r="A284" s="26" t="n"/>
      <c r="B284" s="21" t="n"/>
      <c r="C284" s="22" t="n"/>
      <c r="D284" s="23">
        <f>IFERROR(IF(B284="","",VLOOKUP(B284,'Setup - Materials'!$A$5:$D$304,2,0)),"")</f>
        <v/>
      </c>
      <c r="E284" s="22" t="n"/>
      <c r="F284" s="23">
        <f>IF(OR(C284="",E284=""),"",C284*E284)</f>
        <v/>
      </c>
      <c r="G284" s="21" t="n"/>
      <c r="H284" s="21" t="n"/>
    </row>
    <row r="285">
      <c r="A285" s="26" t="n"/>
      <c r="B285" s="21" t="n"/>
      <c r="C285" s="22" t="n"/>
      <c r="D285" s="23">
        <f>IFERROR(IF(B285="","",VLOOKUP(B285,'Setup - Materials'!$A$5:$D$304,2,0)),"")</f>
        <v/>
      </c>
      <c r="E285" s="22" t="n"/>
      <c r="F285" s="23">
        <f>IF(OR(C285="",E285=""),"",C285*E285)</f>
        <v/>
      </c>
      <c r="G285" s="21" t="n"/>
      <c r="H285" s="21" t="n"/>
    </row>
    <row r="286">
      <c r="A286" s="26" t="n"/>
      <c r="B286" s="21" t="n"/>
      <c r="C286" s="22" t="n"/>
      <c r="D286" s="23">
        <f>IFERROR(IF(B286="","",VLOOKUP(B286,'Setup - Materials'!$A$5:$D$304,2,0)),"")</f>
        <v/>
      </c>
      <c r="E286" s="22" t="n"/>
      <c r="F286" s="23">
        <f>IF(OR(C286="",E286=""),"",C286*E286)</f>
        <v/>
      </c>
      <c r="G286" s="21" t="n"/>
      <c r="H286" s="21" t="n"/>
    </row>
    <row r="287">
      <c r="A287" s="26" t="n"/>
      <c r="B287" s="21" t="n"/>
      <c r="C287" s="22" t="n"/>
      <c r="D287" s="23">
        <f>IFERROR(IF(B287="","",VLOOKUP(B287,'Setup - Materials'!$A$5:$D$304,2,0)),"")</f>
        <v/>
      </c>
      <c r="E287" s="22" t="n"/>
      <c r="F287" s="23">
        <f>IF(OR(C287="",E287=""),"",C287*E287)</f>
        <v/>
      </c>
      <c r="G287" s="21" t="n"/>
      <c r="H287" s="21" t="n"/>
    </row>
    <row r="288">
      <c r="A288" s="26" t="n"/>
      <c r="B288" s="21" t="n"/>
      <c r="C288" s="22" t="n"/>
      <c r="D288" s="23">
        <f>IFERROR(IF(B288="","",VLOOKUP(B288,'Setup - Materials'!$A$5:$D$304,2,0)),"")</f>
        <v/>
      </c>
      <c r="E288" s="22" t="n"/>
      <c r="F288" s="23">
        <f>IF(OR(C288="",E288=""),"",C288*E288)</f>
        <v/>
      </c>
      <c r="G288" s="21" t="n"/>
      <c r="H288" s="21" t="n"/>
    </row>
    <row r="289">
      <c r="A289" s="26" t="n"/>
      <c r="B289" s="21" t="n"/>
      <c r="C289" s="22" t="n"/>
      <c r="D289" s="23">
        <f>IFERROR(IF(B289="","",VLOOKUP(B289,'Setup - Materials'!$A$5:$D$304,2,0)),"")</f>
        <v/>
      </c>
      <c r="E289" s="22" t="n"/>
      <c r="F289" s="23">
        <f>IF(OR(C289="",E289=""),"",C289*E289)</f>
        <v/>
      </c>
      <c r="G289" s="21" t="n"/>
      <c r="H289" s="21" t="n"/>
    </row>
    <row r="290">
      <c r="A290" s="26" t="n"/>
      <c r="B290" s="21" t="n"/>
      <c r="C290" s="22" t="n"/>
      <c r="D290" s="23">
        <f>IFERROR(IF(B290="","",VLOOKUP(B290,'Setup - Materials'!$A$5:$D$304,2,0)),"")</f>
        <v/>
      </c>
      <c r="E290" s="22" t="n"/>
      <c r="F290" s="23">
        <f>IF(OR(C290="",E290=""),"",C290*E290)</f>
        <v/>
      </c>
      <c r="G290" s="21" t="n"/>
      <c r="H290" s="21" t="n"/>
    </row>
    <row r="291">
      <c r="A291" s="26" t="n"/>
      <c r="B291" s="21" t="n"/>
      <c r="C291" s="22" t="n"/>
      <c r="D291" s="23">
        <f>IFERROR(IF(B291="","",VLOOKUP(B291,'Setup - Materials'!$A$5:$D$304,2,0)),"")</f>
        <v/>
      </c>
      <c r="E291" s="22" t="n"/>
      <c r="F291" s="23">
        <f>IF(OR(C291="",E291=""),"",C291*E291)</f>
        <v/>
      </c>
      <c r="G291" s="21" t="n"/>
      <c r="H291" s="21" t="n"/>
    </row>
    <row r="292">
      <c r="A292" s="26" t="n"/>
      <c r="B292" s="21" t="n"/>
      <c r="C292" s="22" t="n"/>
      <c r="D292" s="23">
        <f>IFERROR(IF(B292="","",VLOOKUP(B292,'Setup - Materials'!$A$5:$D$304,2,0)),"")</f>
        <v/>
      </c>
      <c r="E292" s="22" t="n"/>
      <c r="F292" s="23">
        <f>IF(OR(C292="",E292=""),"",C292*E292)</f>
        <v/>
      </c>
      <c r="G292" s="21" t="n"/>
      <c r="H292" s="21" t="n"/>
    </row>
    <row r="293">
      <c r="A293" s="26" t="n"/>
      <c r="B293" s="21" t="n"/>
      <c r="C293" s="22" t="n"/>
      <c r="D293" s="23">
        <f>IFERROR(IF(B293="","",VLOOKUP(B293,'Setup - Materials'!$A$5:$D$304,2,0)),"")</f>
        <v/>
      </c>
      <c r="E293" s="22" t="n"/>
      <c r="F293" s="23">
        <f>IF(OR(C293="",E293=""),"",C293*E293)</f>
        <v/>
      </c>
      <c r="G293" s="21" t="n"/>
      <c r="H293" s="21" t="n"/>
    </row>
    <row r="294">
      <c r="A294" s="26" t="n"/>
      <c r="B294" s="21" t="n"/>
      <c r="C294" s="22" t="n"/>
      <c r="D294" s="23">
        <f>IFERROR(IF(B294="","",VLOOKUP(B294,'Setup - Materials'!$A$5:$D$304,2,0)),"")</f>
        <v/>
      </c>
      <c r="E294" s="22" t="n"/>
      <c r="F294" s="23">
        <f>IF(OR(C294="",E294=""),"",C294*E294)</f>
        <v/>
      </c>
      <c r="G294" s="21" t="n"/>
      <c r="H294" s="21" t="n"/>
    </row>
    <row r="295">
      <c r="A295" s="26" t="n"/>
      <c r="B295" s="21" t="n"/>
      <c r="C295" s="22" t="n"/>
      <c r="D295" s="23">
        <f>IFERROR(IF(B295="","",VLOOKUP(B295,'Setup - Materials'!$A$5:$D$304,2,0)),"")</f>
        <v/>
      </c>
      <c r="E295" s="22" t="n"/>
      <c r="F295" s="23">
        <f>IF(OR(C295="",E295=""),"",C295*E295)</f>
        <v/>
      </c>
      <c r="G295" s="21" t="n"/>
      <c r="H295" s="21" t="n"/>
    </row>
    <row r="296">
      <c r="A296" s="26" t="n"/>
      <c r="B296" s="21" t="n"/>
      <c r="C296" s="22" t="n"/>
      <c r="D296" s="23">
        <f>IFERROR(IF(B296="","",VLOOKUP(B296,'Setup - Materials'!$A$5:$D$304,2,0)),"")</f>
        <v/>
      </c>
      <c r="E296" s="22" t="n"/>
      <c r="F296" s="23">
        <f>IF(OR(C296="",E296=""),"",C296*E296)</f>
        <v/>
      </c>
      <c r="G296" s="21" t="n"/>
      <c r="H296" s="21" t="n"/>
    </row>
    <row r="297">
      <c r="A297" s="26" t="n"/>
      <c r="B297" s="21" t="n"/>
      <c r="C297" s="22" t="n"/>
      <c r="D297" s="23">
        <f>IFERROR(IF(B297="","",VLOOKUP(B297,'Setup - Materials'!$A$5:$D$304,2,0)),"")</f>
        <v/>
      </c>
      <c r="E297" s="22" t="n"/>
      <c r="F297" s="23">
        <f>IF(OR(C297="",E297=""),"",C297*E297)</f>
        <v/>
      </c>
      <c r="G297" s="21" t="n"/>
      <c r="H297" s="21" t="n"/>
    </row>
    <row r="298">
      <c r="A298" s="26" t="n"/>
      <c r="B298" s="21" t="n"/>
      <c r="C298" s="22" t="n"/>
      <c r="D298" s="23">
        <f>IFERROR(IF(B298="","",VLOOKUP(B298,'Setup - Materials'!$A$5:$D$304,2,0)),"")</f>
        <v/>
      </c>
      <c r="E298" s="22" t="n"/>
      <c r="F298" s="23">
        <f>IF(OR(C298="",E298=""),"",C298*E298)</f>
        <v/>
      </c>
      <c r="G298" s="21" t="n"/>
      <c r="H298" s="21" t="n"/>
    </row>
    <row r="299">
      <c r="A299" s="26" t="n"/>
      <c r="B299" s="21" t="n"/>
      <c r="C299" s="22" t="n"/>
      <c r="D299" s="23">
        <f>IFERROR(IF(B299="","",VLOOKUP(B299,'Setup - Materials'!$A$5:$D$304,2,0)),"")</f>
        <v/>
      </c>
      <c r="E299" s="22" t="n"/>
      <c r="F299" s="23">
        <f>IF(OR(C299="",E299=""),"",C299*E299)</f>
        <v/>
      </c>
      <c r="G299" s="21" t="n"/>
      <c r="H299" s="21" t="n"/>
    </row>
    <row r="300">
      <c r="A300" s="26" t="n"/>
      <c r="B300" s="21" t="n"/>
      <c r="C300" s="22" t="n"/>
      <c r="D300" s="23">
        <f>IFERROR(IF(B300="","",VLOOKUP(B300,'Setup - Materials'!$A$5:$D$304,2,0)),"")</f>
        <v/>
      </c>
      <c r="E300" s="22" t="n"/>
      <c r="F300" s="23">
        <f>IF(OR(C300="",E300=""),"",C300*E300)</f>
        <v/>
      </c>
      <c r="G300" s="21" t="n"/>
      <c r="H300" s="21" t="n"/>
    </row>
    <row r="301">
      <c r="A301" s="26" t="n"/>
      <c r="B301" s="21" t="n"/>
      <c r="C301" s="22" t="n"/>
      <c r="D301" s="23">
        <f>IFERROR(IF(B301="","",VLOOKUP(B301,'Setup - Materials'!$A$5:$D$304,2,0)),"")</f>
        <v/>
      </c>
      <c r="E301" s="22" t="n"/>
      <c r="F301" s="23">
        <f>IF(OR(C301="",E301=""),"",C301*E301)</f>
        <v/>
      </c>
      <c r="G301" s="21" t="n"/>
      <c r="H301" s="21" t="n"/>
    </row>
    <row r="302">
      <c r="A302" s="26" t="n"/>
      <c r="B302" s="21" t="n"/>
      <c r="C302" s="22" t="n"/>
      <c r="D302" s="23">
        <f>IFERROR(IF(B302="","",VLOOKUP(B302,'Setup - Materials'!$A$5:$D$304,2,0)),"")</f>
        <v/>
      </c>
      <c r="E302" s="22" t="n"/>
      <c r="F302" s="23">
        <f>IF(OR(C302="",E302=""),"",C302*E302)</f>
        <v/>
      </c>
      <c r="G302" s="21" t="n"/>
      <c r="H302" s="21" t="n"/>
    </row>
    <row r="303">
      <c r="A303" s="26" t="n"/>
      <c r="B303" s="21" t="n"/>
      <c r="C303" s="22" t="n"/>
      <c r="D303" s="23">
        <f>IFERROR(IF(B303="","",VLOOKUP(B303,'Setup - Materials'!$A$5:$D$304,2,0)),"")</f>
        <v/>
      </c>
      <c r="E303" s="22" t="n"/>
      <c r="F303" s="23">
        <f>IF(OR(C303="",E303=""),"",C303*E303)</f>
        <v/>
      </c>
      <c r="G303" s="21" t="n"/>
      <c r="H303" s="21" t="n"/>
    </row>
    <row r="304">
      <c r="A304" s="26" t="n"/>
      <c r="B304" s="21" t="n"/>
      <c r="C304" s="22" t="n"/>
      <c r="D304" s="23">
        <f>IFERROR(IF(B304="","",VLOOKUP(B304,'Setup - Materials'!$A$5:$D$304,2,0)),"")</f>
        <v/>
      </c>
      <c r="E304" s="22" t="n"/>
      <c r="F304" s="23">
        <f>IF(OR(C304="",E304=""),"",C304*E304)</f>
        <v/>
      </c>
      <c r="G304" s="21" t="n"/>
      <c r="H304" s="21" t="n"/>
    </row>
  </sheetData>
  <mergeCells count="2">
    <mergeCell ref="A2:H2"/>
    <mergeCell ref="A1:H1"/>
  </mergeCells>
  <dataValidations count="1">
    <dataValidation sqref="B5:B304" showDropDown="0" showInputMessage="0" showErrorMessage="0" allowBlank="1" error="Pick a value from the list." promptTitle="Select" prompt="Choose from the dropdown." type="list">
      <formula1>=MaterialList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2203A"/>
    <outlinePr summaryBelow="1" summaryRight="1"/>
    <pageSetUpPr/>
  </sheetPr>
  <dimension ref="A1:G3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4" customWidth="1" min="4" max="4"/>
    <col width="12" customWidth="1" min="5" max="5"/>
    <col width="15" customWidth="1" min="6" max="6"/>
    <col width="18" customWidth="1" min="7" max="7"/>
  </cols>
  <sheetData>
    <row r="1" ht="34" customHeight="1">
      <c r="A1" s="1" t="inlineStr">
        <is>
          <t>Fuel Log  -  Diesel Issued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Diesel issued per vehicle. Amount auto-calculates; total diesel feeds the Stock Register.</t>
        </is>
      </c>
      <c r="B2" s="2" t="n"/>
      <c r="C2" s="2" t="n"/>
      <c r="D2" s="2" t="n"/>
      <c r="E2" s="2" t="n"/>
      <c r="F2" s="2" t="n"/>
      <c r="G2" s="2" t="n"/>
    </row>
    <row r="4" ht="30" customHeight="1">
      <c r="A4" s="25" t="inlineStr">
        <is>
          <t>Date</t>
        </is>
      </c>
      <c r="B4" s="25" t="inlineStr">
        <is>
          <t>Vehicle No.</t>
        </is>
      </c>
      <c r="C4" s="25" t="inlineStr">
        <is>
          <t>Diesel (ltr)</t>
        </is>
      </c>
      <c r="D4" s="25" t="inlineStr">
        <is>
          <t>Odometer (km)</t>
        </is>
      </c>
      <c r="E4" s="25" t="inlineStr">
        <is>
          <t>Rate (₹/ltr)</t>
        </is>
      </c>
      <c r="F4" s="25" t="inlineStr">
        <is>
          <t>Amount (₹)</t>
        </is>
      </c>
      <c r="G4" s="25" t="inlineStr">
        <is>
          <t>Filled By</t>
        </is>
      </c>
    </row>
    <row r="5">
      <c r="A5" s="26" t="inlineStr">
        <is>
          <t>2026-06-22</t>
        </is>
      </c>
      <c r="B5" s="21" t="inlineStr">
        <is>
          <t>MH12 AB 1234</t>
        </is>
      </c>
      <c r="C5" s="22" t="n">
        <v>40</v>
      </c>
      <c r="D5" s="22" t="n">
        <v>84120</v>
      </c>
      <c r="E5" s="22" t="n">
        <v>92</v>
      </c>
      <c r="F5" s="23">
        <f>IF(OR(C5="",E5=""),"",C5*E5)</f>
        <v/>
      </c>
      <c r="G5" s="21" t="inlineStr">
        <is>
          <t>Anil</t>
        </is>
      </c>
    </row>
    <row r="6">
      <c r="A6" s="26" t="inlineStr">
        <is>
          <t>2026-06-22</t>
        </is>
      </c>
      <c r="B6" s="21" t="inlineStr">
        <is>
          <t>MH12 CD 5678</t>
        </is>
      </c>
      <c r="C6" s="22" t="n">
        <v>45</v>
      </c>
      <c r="D6" s="22" t="n">
        <v>91250</v>
      </c>
      <c r="E6" s="22" t="n">
        <v>92</v>
      </c>
      <c r="F6" s="23">
        <f>IF(OR(C6="",E6=""),"",C6*E6)</f>
        <v/>
      </c>
      <c r="G6" s="21" t="inlineStr">
        <is>
          <t>Anil</t>
        </is>
      </c>
    </row>
    <row r="7">
      <c r="A7" s="26" t="n"/>
      <c r="B7" s="21" t="n"/>
      <c r="C7" s="22" t="n"/>
      <c r="D7" s="22" t="n"/>
      <c r="E7" s="22" t="n"/>
      <c r="F7" s="23">
        <f>IF(OR(C7="",E7=""),"",C7*E7)</f>
        <v/>
      </c>
      <c r="G7" s="21" t="n"/>
    </row>
    <row r="8">
      <c r="A8" s="26" t="n"/>
      <c r="B8" s="21" t="n"/>
      <c r="C8" s="22" t="n"/>
      <c r="D8" s="22" t="n"/>
      <c r="E8" s="22" t="n"/>
      <c r="F8" s="23">
        <f>IF(OR(C8="",E8=""),"",C8*E8)</f>
        <v/>
      </c>
      <c r="G8" s="21" t="n"/>
    </row>
    <row r="9">
      <c r="A9" s="26" t="n"/>
      <c r="B9" s="21" t="n"/>
      <c r="C9" s="22" t="n"/>
      <c r="D9" s="22" t="n"/>
      <c r="E9" s="22" t="n"/>
      <c r="F9" s="23">
        <f>IF(OR(C9="",E9=""),"",C9*E9)</f>
        <v/>
      </c>
      <c r="G9" s="21" t="n"/>
    </row>
    <row r="10">
      <c r="A10" s="26" t="n"/>
      <c r="B10" s="21" t="n"/>
      <c r="C10" s="22" t="n"/>
      <c r="D10" s="22" t="n"/>
      <c r="E10" s="22" t="n"/>
      <c r="F10" s="23">
        <f>IF(OR(C10="",E10=""),"",C10*E10)</f>
        <v/>
      </c>
      <c r="G10" s="21" t="n"/>
    </row>
    <row r="11">
      <c r="A11" s="26" t="n"/>
      <c r="B11" s="21" t="n"/>
      <c r="C11" s="22" t="n"/>
      <c r="D11" s="22" t="n"/>
      <c r="E11" s="22" t="n"/>
      <c r="F11" s="23">
        <f>IF(OR(C11="",E11=""),"",C11*E11)</f>
        <v/>
      </c>
      <c r="G11" s="21" t="n"/>
    </row>
    <row r="12">
      <c r="A12" s="26" t="n"/>
      <c r="B12" s="21" t="n"/>
      <c r="C12" s="22" t="n"/>
      <c r="D12" s="22" t="n"/>
      <c r="E12" s="22" t="n"/>
      <c r="F12" s="23">
        <f>IF(OR(C12="",E12=""),"",C12*E12)</f>
        <v/>
      </c>
      <c r="G12" s="21" t="n"/>
    </row>
    <row r="13">
      <c r="A13" s="26" t="n"/>
      <c r="B13" s="21" t="n"/>
      <c r="C13" s="22" t="n"/>
      <c r="D13" s="22" t="n"/>
      <c r="E13" s="22" t="n"/>
      <c r="F13" s="23">
        <f>IF(OR(C13="",E13=""),"",C13*E13)</f>
        <v/>
      </c>
      <c r="G13" s="21" t="n"/>
    </row>
    <row r="14">
      <c r="A14" s="26" t="n"/>
      <c r="B14" s="21" t="n"/>
      <c r="C14" s="22" t="n"/>
      <c r="D14" s="22" t="n"/>
      <c r="E14" s="22" t="n"/>
      <c r="F14" s="23">
        <f>IF(OR(C14="",E14=""),"",C14*E14)</f>
        <v/>
      </c>
      <c r="G14" s="21" t="n"/>
    </row>
    <row r="15">
      <c r="A15" s="26" t="n"/>
      <c r="B15" s="21" t="n"/>
      <c r="C15" s="22" t="n"/>
      <c r="D15" s="22" t="n"/>
      <c r="E15" s="22" t="n"/>
      <c r="F15" s="23">
        <f>IF(OR(C15="",E15=""),"",C15*E15)</f>
        <v/>
      </c>
      <c r="G15" s="21" t="n"/>
    </row>
    <row r="16">
      <c r="A16" s="26" t="n"/>
      <c r="B16" s="21" t="n"/>
      <c r="C16" s="22" t="n"/>
      <c r="D16" s="22" t="n"/>
      <c r="E16" s="22" t="n"/>
      <c r="F16" s="23">
        <f>IF(OR(C16="",E16=""),"",C16*E16)</f>
        <v/>
      </c>
      <c r="G16" s="21" t="n"/>
    </row>
    <row r="17">
      <c r="A17" s="26" t="n"/>
      <c r="B17" s="21" t="n"/>
      <c r="C17" s="22" t="n"/>
      <c r="D17" s="22" t="n"/>
      <c r="E17" s="22" t="n"/>
      <c r="F17" s="23">
        <f>IF(OR(C17="",E17=""),"",C17*E17)</f>
        <v/>
      </c>
      <c r="G17" s="21" t="n"/>
    </row>
    <row r="18">
      <c r="A18" s="26" t="n"/>
      <c r="B18" s="21" t="n"/>
      <c r="C18" s="22" t="n"/>
      <c r="D18" s="22" t="n"/>
      <c r="E18" s="22" t="n"/>
      <c r="F18" s="23">
        <f>IF(OR(C18="",E18=""),"",C18*E18)</f>
        <v/>
      </c>
      <c r="G18" s="21" t="n"/>
    </row>
    <row r="19">
      <c r="A19" s="26" t="n"/>
      <c r="B19" s="21" t="n"/>
      <c r="C19" s="22" t="n"/>
      <c r="D19" s="22" t="n"/>
      <c r="E19" s="22" t="n"/>
      <c r="F19" s="23">
        <f>IF(OR(C19="",E19=""),"",C19*E19)</f>
        <v/>
      </c>
      <c r="G19" s="21" t="n"/>
    </row>
    <row r="20">
      <c r="A20" s="26" t="n"/>
      <c r="B20" s="21" t="n"/>
      <c r="C20" s="22" t="n"/>
      <c r="D20" s="22" t="n"/>
      <c r="E20" s="22" t="n"/>
      <c r="F20" s="23">
        <f>IF(OR(C20="",E20=""),"",C20*E20)</f>
        <v/>
      </c>
      <c r="G20" s="21" t="n"/>
    </row>
    <row r="21">
      <c r="A21" s="26" t="n"/>
      <c r="B21" s="21" t="n"/>
      <c r="C21" s="22" t="n"/>
      <c r="D21" s="22" t="n"/>
      <c r="E21" s="22" t="n"/>
      <c r="F21" s="23">
        <f>IF(OR(C21="",E21=""),"",C21*E21)</f>
        <v/>
      </c>
      <c r="G21" s="21" t="n"/>
    </row>
    <row r="22">
      <c r="A22" s="26" t="n"/>
      <c r="B22" s="21" t="n"/>
      <c r="C22" s="22" t="n"/>
      <c r="D22" s="22" t="n"/>
      <c r="E22" s="22" t="n"/>
      <c r="F22" s="23">
        <f>IF(OR(C22="",E22=""),"",C22*E22)</f>
        <v/>
      </c>
      <c r="G22" s="21" t="n"/>
    </row>
    <row r="23">
      <c r="A23" s="26" t="n"/>
      <c r="B23" s="21" t="n"/>
      <c r="C23" s="22" t="n"/>
      <c r="D23" s="22" t="n"/>
      <c r="E23" s="22" t="n"/>
      <c r="F23" s="23">
        <f>IF(OR(C23="",E23=""),"",C23*E23)</f>
        <v/>
      </c>
      <c r="G23" s="21" t="n"/>
    </row>
    <row r="24">
      <c r="A24" s="26" t="n"/>
      <c r="B24" s="21" t="n"/>
      <c r="C24" s="22" t="n"/>
      <c r="D24" s="22" t="n"/>
      <c r="E24" s="22" t="n"/>
      <c r="F24" s="23">
        <f>IF(OR(C24="",E24=""),"",C24*E24)</f>
        <v/>
      </c>
      <c r="G24" s="21" t="n"/>
    </row>
    <row r="25">
      <c r="A25" s="26" t="n"/>
      <c r="B25" s="21" t="n"/>
      <c r="C25" s="22" t="n"/>
      <c r="D25" s="22" t="n"/>
      <c r="E25" s="22" t="n"/>
      <c r="F25" s="23">
        <f>IF(OR(C25="",E25=""),"",C25*E25)</f>
        <v/>
      </c>
      <c r="G25" s="21" t="n"/>
    </row>
    <row r="26">
      <c r="A26" s="26" t="n"/>
      <c r="B26" s="21" t="n"/>
      <c r="C26" s="22" t="n"/>
      <c r="D26" s="22" t="n"/>
      <c r="E26" s="22" t="n"/>
      <c r="F26" s="23">
        <f>IF(OR(C26="",E26=""),"",C26*E26)</f>
        <v/>
      </c>
      <c r="G26" s="21" t="n"/>
    </row>
    <row r="27">
      <c r="A27" s="26" t="n"/>
      <c r="B27" s="21" t="n"/>
      <c r="C27" s="22" t="n"/>
      <c r="D27" s="22" t="n"/>
      <c r="E27" s="22" t="n"/>
      <c r="F27" s="23">
        <f>IF(OR(C27="",E27=""),"",C27*E27)</f>
        <v/>
      </c>
      <c r="G27" s="21" t="n"/>
    </row>
    <row r="28">
      <c r="A28" s="26" t="n"/>
      <c r="B28" s="21" t="n"/>
      <c r="C28" s="22" t="n"/>
      <c r="D28" s="22" t="n"/>
      <c r="E28" s="22" t="n"/>
      <c r="F28" s="23">
        <f>IF(OR(C28="",E28=""),"",C28*E28)</f>
        <v/>
      </c>
      <c r="G28" s="21" t="n"/>
    </row>
    <row r="29">
      <c r="A29" s="26" t="n"/>
      <c r="B29" s="21" t="n"/>
      <c r="C29" s="22" t="n"/>
      <c r="D29" s="22" t="n"/>
      <c r="E29" s="22" t="n"/>
      <c r="F29" s="23">
        <f>IF(OR(C29="",E29=""),"",C29*E29)</f>
        <v/>
      </c>
      <c r="G29" s="21" t="n"/>
    </row>
    <row r="30">
      <c r="A30" s="26" t="n"/>
      <c r="B30" s="21" t="n"/>
      <c r="C30" s="22" t="n"/>
      <c r="D30" s="22" t="n"/>
      <c r="E30" s="22" t="n"/>
      <c r="F30" s="23">
        <f>IF(OR(C30="",E30=""),"",C30*E30)</f>
        <v/>
      </c>
      <c r="G30" s="21" t="n"/>
    </row>
    <row r="31">
      <c r="A31" s="26" t="n"/>
      <c r="B31" s="21" t="n"/>
      <c r="C31" s="22" t="n"/>
      <c r="D31" s="22" t="n"/>
      <c r="E31" s="22" t="n"/>
      <c r="F31" s="23">
        <f>IF(OR(C31="",E31=""),"",C31*E31)</f>
        <v/>
      </c>
      <c r="G31" s="21" t="n"/>
    </row>
    <row r="32">
      <c r="A32" s="26" t="n"/>
      <c r="B32" s="21" t="n"/>
      <c r="C32" s="22" t="n"/>
      <c r="D32" s="22" t="n"/>
      <c r="E32" s="22" t="n"/>
      <c r="F32" s="23">
        <f>IF(OR(C32="",E32=""),"",C32*E32)</f>
        <v/>
      </c>
      <c r="G32" s="21" t="n"/>
    </row>
    <row r="33">
      <c r="A33" s="26" t="n"/>
      <c r="B33" s="21" t="n"/>
      <c r="C33" s="22" t="n"/>
      <c r="D33" s="22" t="n"/>
      <c r="E33" s="22" t="n"/>
      <c r="F33" s="23">
        <f>IF(OR(C33="",E33=""),"",C33*E33)</f>
        <v/>
      </c>
      <c r="G33" s="21" t="n"/>
    </row>
    <row r="34">
      <c r="A34" s="26" t="n"/>
      <c r="B34" s="21" t="n"/>
      <c r="C34" s="22" t="n"/>
      <c r="D34" s="22" t="n"/>
      <c r="E34" s="22" t="n"/>
      <c r="F34" s="23">
        <f>IF(OR(C34="",E34=""),"",C34*E34)</f>
        <v/>
      </c>
      <c r="G34" s="21" t="n"/>
    </row>
    <row r="35">
      <c r="A35" s="26" t="n"/>
      <c r="B35" s="21" t="n"/>
      <c r="C35" s="22" t="n"/>
      <c r="D35" s="22" t="n"/>
      <c r="E35" s="22" t="n"/>
      <c r="F35" s="23">
        <f>IF(OR(C35="",E35=""),"",C35*E35)</f>
        <v/>
      </c>
      <c r="G35" s="21" t="n"/>
    </row>
    <row r="36">
      <c r="A36" s="26" t="n"/>
      <c r="B36" s="21" t="n"/>
      <c r="C36" s="22" t="n"/>
      <c r="D36" s="22" t="n"/>
      <c r="E36" s="22" t="n"/>
      <c r="F36" s="23">
        <f>IF(OR(C36="",E36=""),"",C36*E36)</f>
        <v/>
      </c>
      <c r="G36" s="21" t="n"/>
    </row>
    <row r="37">
      <c r="A37" s="26" t="n"/>
      <c r="B37" s="21" t="n"/>
      <c r="C37" s="22" t="n"/>
      <c r="D37" s="22" t="n"/>
      <c r="E37" s="22" t="n"/>
      <c r="F37" s="23">
        <f>IF(OR(C37="",E37=""),"",C37*E37)</f>
        <v/>
      </c>
      <c r="G37" s="21" t="n"/>
    </row>
    <row r="38">
      <c r="A38" s="26" t="n"/>
      <c r="B38" s="21" t="n"/>
      <c r="C38" s="22" t="n"/>
      <c r="D38" s="22" t="n"/>
      <c r="E38" s="22" t="n"/>
      <c r="F38" s="23">
        <f>IF(OR(C38="",E38=""),"",C38*E38)</f>
        <v/>
      </c>
      <c r="G38" s="21" t="n"/>
    </row>
    <row r="39">
      <c r="A39" s="26" t="n"/>
      <c r="B39" s="21" t="n"/>
      <c r="C39" s="22" t="n"/>
      <c r="D39" s="22" t="n"/>
      <c r="E39" s="22" t="n"/>
      <c r="F39" s="23">
        <f>IF(OR(C39="",E39=""),"",C39*E39)</f>
        <v/>
      </c>
      <c r="G39" s="21" t="n"/>
    </row>
    <row r="40">
      <c r="A40" s="26" t="n"/>
      <c r="B40" s="21" t="n"/>
      <c r="C40" s="22" t="n"/>
      <c r="D40" s="22" t="n"/>
      <c r="E40" s="22" t="n"/>
      <c r="F40" s="23">
        <f>IF(OR(C40="",E40=""),"",C40*E40)</f>
        <v/>
      </c>
      <c r="G40" s="21" t="n"/>
    </row>
    <row r="41">
      <c r="A41" s="26" t="n"/>
      <c r="B41" s="21" t="n"/>
      <c r="C41" s="22" t="n"/>
      <c r="D41" s="22" t="n"/>
      <c r="E41" s="22" t="n"/>
      <c r="F41" s="23">
        <f>IF(OR(C41="",E41=""),"",C41*E41)</f>
        <v/>
      </c>
      <c r="G41" s="21" t="n"/>
    </row>
    <row r="42">
      <c r="A42" s="26" t="n"/>
      <c r="B42" s="21" t="n"/>
      <c r="C42" s="22" t="n"/>
      <c r="D42" s="22" t="n"/>
      <c r="E42" s="22" t="n"/>
      <c r="F42" s="23">
        <f>IF(OR(C42="",E42=""),"",C42*E42)</f>
        <v/>
      </c>
      <c r="G42" s="21" t="n"/>
    </row>
    <row r="43">
      <c r="A43" s="26" t="n"/>
      <c r="B43" s="21" t="n"/>
      <c r="C43" s="22" t="n"/>
      <c r="D43" s="22" t="n"/>
      <c r="E43" s="22" t="n"/>
      <c r="F43" s="23">
        <f>IF(OR(C43="",E43=""),"",C43*E43)</f>
        <v/>
      </c>
      <c r="G43" s="21" t="n"/>
    </row>
    <row r="44">
      <c r="A44" s="26" t="n"/>
      <c r="B44" s="21" t="n"/>
      <c r="C44" s="22" t="n"/>
      <c r="D44" s="22" t="n"/>
      <c r="E44" s="22" t="n"/>
      <c r="F44" s="23">
        <f>IF(OR(C44="",E44=""),"",C44*E44)</f>
        <v/>
      </c>
      <c r="G44" s="21" t="n"/>
    </row>
    <row r="45">
      <c r="A45" s="26" t="n"/>
      <c r="B45" s="21" t="n"/>
      <c r="C45" s="22" t="n"/>
      <c r="D45" s="22" t="n"/>
      <c r="E45" s="22" t="n"/>
      <c r="F45" s="23">
        <f>IF(OR(C45="",E45=""),"",C45*E45)</f>
        <v/>
      </c>
      <c r="G45" s="21" t="n"/>
    </row>
    <row r="46">
      <c r="A46" s="26" t="n"/>
      <c r="B46" s="21" t="n"/>
      <c r="C46" s="22" t="n"/>
      <c r="D46" s="22" t="n"/>
      <c r="E46" s="22" t="n"/>
      <c r="F46" s="23">
        <f>IF(OR(C46="",E46=""),"",C46*E46)</f>
        <v/>
      </c>
      <c r="G46" s="21" t="n"/>
    </row>
    <row r="47">
      <c r="A47" s="26" t="n"/>
      <c r="B47" s="21" t="n"/>
      <c r="C47" s="22" t="n"/>
      <c r="D47" s="22" t="n"/>
      <c r="E47" s="22" t="n"/>
      <c r="F47" s="23">
        <f>IF(OR(C47="",E47=""),"",C47*E47)</f>
        <v/>
      </c>
      <c r="G47" s="21" t="n"/>
    </row>
    <row r="48">
      <c r="A48" s="26" t="n"/>
      <c r="B48" s="21" t="n"/>
      <c r="C48" s="22" t="n"/>
      <c r="D48" s="22" t="n"/>
      <c r="E48" s="22" t="n"/>
      <c r="F48" s="23">
        <f>IF(OR(C48="",E48=""),"",C48*E48)</f>
        <v/>
      </c>
      <c r="G48" s="21" t="n"/>
    </row>
    <row r="49">
      <c r="A49" s="26" t="n"/>
      <c r="B49" s="21" t="n"/>
      <c r="C49" s="22" t="n"/>
      <c r="D49" s="22" t="n"/>
      <c r="E49" s="22" t="n"/>
      <c r="F49" s="23">
        <f>IF(OR(C49="",E49=""),"",C49*E49)</f>
        <v/>
      </c>
      <c r="G49" s="21" t="n"/>
    </row>
    <row r="50">
      <c r="A50" s="26" t="n"/>
      <c r="B50" s="21" t="n"/>
      <c r="C50" s="22" t="n"/>
      <c r="D50" s="22" t="n"/>
      <c r="E50" s="22" t="n"/>
      <c r="F50" s="23">
        <f>IF(OR(C50="",E50=""),"",C50*E50)</f>
        <v/>
      </c>
      <c r="G50" s="21" t="n"/>
    </row>
    <row r="51">
      <c r="A51" s="26" t="n"/>
      <c r="B51" s="21" t="n"/>
      <c r="C51" s="22" t="n"/>
      <c r="D51" s="22" t="n"/>
      <c r="E51" s="22" t="n"/>
      <c r="F51" s="23">
        <f>IF(OR(C51="",E51=""),"",C51*E51)</f>
        <v/>
      </c>
      <c r="G51" s="21" t="n"/>
    </row>
    <row r="52">
      <c r="A52" s="26" t="n"/>
      <c r="B52" s="21" t="n"/>
      <c r="C52" s="22" t="n"/>
      <c r="D52" s="22" t="n"/>
      <c r="E52" s="22" t="n"/>
      <c r="F52" s="23">
        <f>IF(OR(C52="",E52=""),"",C52*E52)</f>
        <v/>
      </c>
      <c r="G52" s="21" t="n"/>
    </row>
    <row r="53">
      <c r="A53" s="26" t="n"/>
      <c r="B53" s="21" t="n"/>
      <c r="C53" s="22" t="n"/>
      <c r="D53" s="22" t="n"/>
      <c r="E53" s="22" t="n"/>
      <c r="F53" s="23">
        <f>IF(OR(C53="",E53=""),"",C53*E53)</f>
        <v/>
      </c>
      <c r="G53" s="21" t="n"/>
    </row>
    <row r="54">
      <c r="A54" s="26" t="n"/>
      <c r="B54" s="21" t="n"/>
      <c r="C54" s="22" t="n"/>
      <c r="D54" s="22" t="n"/>
      <c r="E54" s="22" t="n"/>
      <c r="F54" s="23">
        <f>IF(OR(C54="",E54=""),"",C54*E54)</f>
        <v/>
      </c>
      <c r="G54" s="21" t="n"/>
    </row>
    <row r="55">
      <c r="A55" s="26" t="n"/>
      <c r="B55" s="21" t="n"/>
      <c r="C55" s="22" t="n"/>
      <c r="D55" s="22" t="n"/>
      <c r="E55" s="22" t="n"/>
      <c r="F55" s="23">
        <f>IF(OR(C55="",E55=""),"",C55*E55)</f>
        <v/>
      </c>
      <c r="G55" s="21" t="n"/>
    </row>
    <row r="56">
      <c r="A56" s="26" t="n"/>
      <c r="B56" s="21" t="n"/>
      <c r="C56" s="22" t="n"/>
      <c r="D56" s="22" t="n"/>
      <c r="E56" s="22" t="n"/>
      <c r="F56" s="23">
        <f>IF(OR(C56="",E56=""),"",C56*E56)</f>
        <v/>
      </c>
      <c r="G56" s="21" t="n"/>
    </row>
    <row r="57">
      <c r="A57" s="26" t="n"/>
      <c r="B57" s="21" t="n"/>
      <c r="C57" s="22" t="n"/>
      <c r="D57" s="22" t="n"/>
      <c r="E57" s="22" t="n"/>
      <c r="F57" s="23">
        <f>IF(OR(C57="",E57=""),"",C57*E57)</f>
        <v/>
      </c>
      <c r="G57" s="21" t="n"/>
    </row>
    <row r="58">
      <c r="A58" s="26" t="n"/>
      <c r="B58" s="21" t="n"/>
      <c r="C58" s="22" t="n"/>
      <c r="D58" s="22" t="n"/>
      <c r="E58" s="22" t="n"/>
      <c r="F58" s="23">
        <f>IF(OR(C58="",E58=""),"",C58*E58)</f>
        <v/>
      </c>
      <c r="G58" s="21" t="n"/>
    </row>
    <row r="59">
      <c r="A59" s="26" t="n"/>
      <c r="B59" s="21" t="n"/>
      <c r="C59" s="22" t="n"/>
      <c r="D59" s="22" t="n"/>
      <c r="E59" s="22" t="n"/>
      <c r="F59" s="23">
        <f>IF(OR(C59="",E59=""),"",C59*E59)</f>
        <v/>
      </c>
      <c r="G59" s="21" t="n"/>
    </row>
    <row r="60">
      <c r="A60" s="26" t="n"/>
      <c r="B60" s="21" t="n"/>
      <c r="C60" s="22" t="n"/>
      <c r="D60" s="22" t="n"/>
      <c r="E60" s="22" t="n"/>
      <c r="F60" s="23">
        <f>IF(OR(C60="",E60=""),"",C60*E60)</f>
        <v/>
      </c>
      <c r="G60" s="21" t="n"/>
    </row>
    <row r="61">
      <c r="A61" s="26" t="n"/>
      <c r="B61" s="21" t="n"/>
      <c r="C61" s="22" t="n"/>
      <c r="D61" s="22" t="n"/>
      <c r="E61" s="22" t="n"/>
      <c r="F61" s="23">
        <f>IF(OR(C61="",E61=""),"",C61*E61)</f>
        <v/>
      </c>
      <c r="G61" s="21" t="n"/>
    </row>
    <row r="62">
      <c r="A62" s="26" t="n"/>
      <c r="B62" s="21" t="n"/>
      <c r="C62" s="22" t="n"/>
      <c r="D62" s="22" t="n"/>
      <c r="E62" s="22" t="n"/>
      <c r="F62" s="23">
        <f>IF(OR(C62="",E62=""),"",C62*E62)</f>
        <v/>
      </c>
      <c r="G62" s="21" t="n"/>
    </row>
    <row r="63">
      <c r="A63" s="26" t="n"/>
      <c r="B63" s="21" t="n"/>
      <c r="C63" s="22" t="n"/>
      <c r="D63" s="22" t="n"/>
      <c r="E63" s="22" t="n"/>
      <c r="F63" s="23">
        <f>IF(OR(C63="",E63=""),"",C63*E63)</f>
        <v/>
      </c>
      <c r="G63" s="21" t="n"/>
    </row>
    <row r="64">
      <c r="A64" s="26" t="n"/>
      <c r="B64" s="21" t="n"/>
      <c r="C64" s="22" t="n"/>
      <c r="D64" s="22" t="n"/>
      <c r="E64" s="22" t="n"/>
      <c r="F64" s="23">
        <f>IF(OR(C64="",E64=""),"",C64*E64)</f>
        <v/>
      </c>
      <c r="G64" s="21" t="n"/>
    </row>
    <row r="65">
      <c r="A65" s="26" t="n"/>
      <c r="B65" s="21" t="n"/>
      <c r="C65" s="22" t="n"/>
      <c r="D65" s="22" t="n"/>
      <c r="E65" s="22" t="n"/>
      <c r="F65" s="23">
        <f>IF(OR(C65="",E65=""),"",C65*E65)</f>
        <v/>
      </c>
      <c r="G65" s="21" t="n"/>
    </row>
    <row r="66">
      <c r="A66" s="26" t="n"/>
      <c r="B66" s="21" t="n"/>
      <c r="C66" s="22" t="n"/>
      <c r="D66" s="22" t="n"/>
      <c r="E66" s="22" t="n"/>
      <c r="F66" s="23">
        <f>IF(OR(C66="",E66=""),"",C66*E66)</f>
        <v/>
      </c>
      <c r="G66" s="21" t="n"/>
    </row>
    <row r="67">
      <c r="A67" s="26" t="n"/>
      <c r="B67" s="21" t="n"/>
      <c r="C67" s="22" t="n"/>
      <c r="D67" s="22" t="n"/>
      <c r="E67" s="22" t="n"/>
      <c r="F67" s="23">
        <f>IF(OR(C67="",E67=""),"",C67*E67)</f>
        <v/>
      </c>
      <c r="G67" s="21" t="n"/>
    </row>
    <row r="68">
      <c r="A68" s="26" t="n"/>
      <c r="B68" s="21" t="n"/>
      <c r="C68" s="22" t="n"/>
      <c r="D68" s="22" t="n"/>
      <c r="E68" s="22" t="n"/>
      <c r="F68" s="23">
        <f>IF(OR(C68="",E68=""),"",C68*E68)</f>
        <v/>
      </c>
      <c r="G68" s="21" t="n"/>
    </row>
    <row r="69">
      <c r="A69" s="26" t="n"/>
      <c r="B69" s="21" t="n"/>
      <c r="C69" s="22" t="n"/>
      <c r="D69" s="22" t="n"/>
      <c r="E69" s="22" t="n"/>
      <c r="F69" s="23">
        <f>IF(OR(C69="",E69=""),"",C69*E69)</f>
        <v/>
      </c>
      <c r="G69" s="21" t="n"/>
    </row>
    <row r="70">
      <c r="A70" s="26" t="n"/>
      <c r="B70" s="21" t="n"/>
      <c r="C70" s="22" t="n"/>
      <c r="D70" s="22" t="n"/>
      <c r="E70" s="22" t="n"/>
      <c r="F70" s="23">
        <f>IF(OR(C70="",E70=""),"",C70*E70)</f>
        <v/>
      </c>
      <c r="G70" s="21" t="n"/>
    </row>
    <row r="71">
      <c r="A71" s="26" t="n"/>
      <c r="B71" s="21" t="n"/>
      <c r="C71" s="22" t="n"/>
      <c r="D71" s="22" t="n"/>
      <c r="E71" s="22" t="n"/>
      <c r="F71" s="23">
        <f>IF(OR(C71="",E71=""),"",C71*E71)</f>
        <v/>
      </c>
      <c r="G71" s="21" t="n"/>
    </row>
    <row r="72">
      <c r="A72" s="26" t="n"/>
      <c r="B72" s="21" t="n"/>
      <c r="C72" s="22" t="n"/>
      <c r="D72" s="22" t="n"/>
      <c r="E72" s="22" t="n"/>
      <c r="F72" s="23">
        <f>IF(OR(C72="",E72=""),"",C72*E72)</f>
        <v/>
      </c>
      <c r="G72" s="21" t="n"/>
    </row>
    <row r="73">
      <c r="A73" s="26" t="n"/>
      <c r="B73" s="21" t="n"/>
      <c r="C73" s="22" t="n"/>
      <c r="D73" s="22" t="n"/>
      <c r="E73" s="22" t="n"/>
      <c r="F73" s="23">
        <f>IF(OR(C73="",E73=""),"",C73*E73)</f>
        <v/>
      </c>
      <c r="G73" s="21" t="n"/>
    </row>
    <row r="74">
      <c r="A74" s="26" t="n"/>
      <c r="B74" s="21" t="n"/>
      <c r="C74" s="22" t="n"/>
      <c r="D74" s="22" t="n"/>
      <c r="E74" s="22" t="n"/>
      <c r="F74" s="23">
        <f>IF(OR(C74="",E74=""),"",C74*E74)</f>
        <v/>
      </c>
      <c r="G74" s="21" t="n"/>
    </row>
    <row r="75">
      <c r="A75" s="26" t="n"/>
      <c r="B75" s="21" t="n"/>
      <c r="C75" s="22" t="n"/>
      <c r="D75" s="22" t="n"/>
      <c r="E75" s="22" t="n"/>
      <c r="F75" s="23">
        <f>IF(OR(C75="",E75=""),"",C75*E75)</f>
        <v/>
      </c>
      <c r="G75" s="21" t="n"/>
    </row>
    <row r="76">
      <c r="A76" s="26" t="n"/>
      <c r="B76" s="21" t="n"/>
      <c r="C76" s="22" t="n"/>
      <c r="D76" s="22" t="n"/>
      <c r="E76" s="22" t="n"/>
      <c r="F76" s="23">
        <f>IF(OR(C76="",E76=""),"",C76*E76)</f>
        <v/>
      </c>
      <c r="G76" s="21" t="n"/>
    </row>
    <row r="77">
      <c r="A77" s="26" t="n"/>
      <c r="B77" s="21" t="n"/>
      <c r="C77" s="22" t="n"/>
      <c r="D77" s="22" t="n"/>
      <c r="E77" s="22" t="n"/>
      <c r="F77" s="23">
        <f>IF(OR(C77="",E77=""),"",C77*E77)</f>
        <v/>
      </c>
      <c r="G77" s="21" t="n"/>
    </row>
    <row r="78">
      <c r="A78" s="26" t="n"/>
      <c r="B78" s="21" t="n"/>
      <c r="C78" s="22" t="n"/>
      <c r="D78" s="22" t="n"/>
      <c r="E78" s="22" t="n"/>
      <c r="F78" s="23">
        <f>IF(OR(C78="",E78=""),"",C78*E78)</f>
        <v/>
      </c>
      <c r="G78" s="21" t="n"/>
    </row>
    <row r="79">
      <c r="A79" s="26" t="n"/>
      <c r="B79" s="21" t="n"/>
      <c r="C79" s="22" t="n"/>
      <c r="D79" s="22" t="n"/>
      <c r="E79" s="22" t="n"/>
      <c r="F79" s="23">
        <f>IF(OR(C79="",E79=""),"",C79*E79)</f>
        <v/>
      </c>
      <c r="G79" s="21" t="n"/>
    </row>
    <row r="80">
      <c r="A80" s="26" t="n"/>
      <c r="B80" s="21" t="n"/>
      <c r="C80" s="22" t="n"/>
      <c r="D80" s="22" t="n"/>
      <c r="E80" s="22" t="n"/>
      <c r="F80" s="23">
        <f>IF(OR(C80="",E80=""),"",C80*E80)</f>
        <v/>
      </c>
      <c r="G80" s="21" t="n"/>
    </row>
    <row r="81">
      <c r="A81" s="26" t="n"/>
      <c r="B81" s="21" t="n"/>
      <c r="C81" s="22" t="n"/>
      <c r="D81" s="22" t="n"/>
      <c r="E81" s="22" t="n"/>
      <c r="F81" s="23">
        <f>IF(OR(C81="",E81=""),"",C81*E81)</f>
        <v/>
      </c>
      <c r="G81" s="21" t="n"/>
    </row>
    <row r="82">
      <c r="A82" s="26" t="n"/>
      <c r="B82" s="21" t="n"/>
      <c r="C82" s="22" t="n"/>
      <c r="D82" s="22" t="n"/>
      <c r="E82" s="22" t="n"/>
      <c r="F82" s="23">
        <f>IF(OR(C82="",E82=""),"",C82*E82)</f>
        <v/>
      </c>
      <c r="G82" s="21" t="n"/>
    </row>
    <row r="83">
      <c r="A83" s="26" t="n"/>
      <c r="B83" s="21" t="n"/>
      <c r="C83" s="22" t="n"/>
      <c r="D83" s="22" t="n"/>
      <c r="E83" s="22" t="n"/>
      <c r="F83" s="23">
        <f>IF(OR(C83="",E83=""),"",C83*E83)</f>
        <v/>
      </c>
      <c r="G83" s="21" t="n"/>
    </row>
    <row r="84">
      <c r="A84" s="26" t="n"/>
      <c r="B84" s="21" t="n"/>
      <c r="C84" s="22" t="n"/>
      <c r="D84" s="22" t="n"/>
      <c r="E84" s="22" t="n"/>
      <c r="F84" s="23">
        <f>IF(OR(C84="",E84=""),"",C84*E84)</f>
        <v/>
      </c>
      <c r="G84" s="21" t="n"/>
    </row>
    <row r="85">
      <c r="A85" s="26" t="n"/>
      <c r="B85" s="21" t="n"/>
      <c r="C85" s="22" t="n"/>
      <c r="D85" s="22" t="n"/>
      <c r="E85" s="22" t="n"/>
      <c r="F85" s="23">
        <f>IF(OR(C85="",E85=""),"",C85*E85)</f>
        <v/>
      </c>
      <c r="G85" s="21" t="n"/>
    </row>
    <row r="86">
      <c r="A86" s="26" t="n"/>
      <c r="B86" s="21" t="n"/>
      <c r="C86" s="22" t="n"/>
      <c r="D86" s="22" t="n"/>
      <c r="E86" s="22" t="n"/>
      <c r="F86" s="23">
        <f>IF(OR(C86="",E86=""),"",C86*E86)</f>
        <v/>
      </c>
      <c r="G86" s="21" t="n"/>
    </row>
    <row r="87">
      <c r="A87" s="26" t="n"/>
      <c r="B87" s="21" t="n"/>
      <c r="C87" s="22" t="n"/>
      <c r="D87" s="22" t="n"/>
      <c r="E87" s="22" t="n"/>
      <c r="F87" s="23">
        <f>IF(OR(C87="",E87=""),"",C87*E87)</f>
        <v/>
      </c>
      <c r="G87" s="21" t="n"/>
    </row>
    <row r="88">
      <c r="A88" s="26" t="n"/>
      <c r="B88" s="21" t="n"/>
      <c r="C88" s="22" t="n"/>
      <c r="D88" s="22" t="n"/>
      <c r="E88" s="22" t="n"/>
      <c r="F88" s="23">
        <f>IF(OR(C88="",E88=""),"",C88*E88)</f>
        <v/>
      </c>
      <c r="G88" s="21" t="n"/>
    </row>
    <row r="89">
      <c r="A89" s="26" t="n"/>
      <c r="B89" s="21" t="n"/>
      <c r="C89" s="22" t="n"/>
      <c r="D89" s="22" t="n"/>
      <c r="E89" s="22" t="n"/>
      <c r="F89" s="23">
        <f>IF(OR(C89="",E89=""),"",C89*E89)</f>
        <v/>
      </c>
      <c r="G89" s="21" t="n"/>
    </row>
    <row r="90">
      <c r="A90" s="26" t="n"/>
      <c r="B90" s="21" t="n"/>
      <c r="C90" s="22" t="n"/>
      <c r="D90" s="22" t="n"/>
      <c r="E90" s="22" t="n"/>
      <c r="F90" s="23">
        <f>IF(OR(C90="",E90=""),"",C90*E90)</f>
        <v/>
      </c>
      <c r="G90" s="21" t="n"/>
    </row>
    <row r="91">
      <c r="A91" s="26" t="n"/>
      <c r="B91" s="21" t="n"/>
      <c r="C91" s="22" t="n"/>
      <c r="D91" s="22" t="n"/>
      <c r="E91" s="22" t="n"/>
      <c r="F91" s="23">
        <f>IF(OR(C91="",E91=""),"",C91*E91)</f>
        <v/>
      </c>
      <c r="G91" s="21" t="n"/>
    </row>
    <row r="92">
      <c r="A92" s="26" t="n"/>
      <c r="B92" s="21" t="n"/>
      <c r="C92" s="22" t="n"/>
      <c r="D92" s="22" t="n"/>
      <c r="E92" s="22" t="n"/>
      <c r="F92" s="23">
        <f>IF(OR(C92="",E92=""),"",C92*E92)</f>
        <v/>
      </c>
      <c r="G92" s="21" t="n"/>
    </row>
    <row r="93">
      <c r="A93" s="26" t="n"/>
      <c r="B93" s="21" t="n"/>
      <c r="C93" s="22" t="n"/>
      <c r="D93" s="22" t="n"/>
      <c r="E93" s="22" t="n"/>
      <c r="F93" s="23">
        <f>IF(OR(C93="",E93=""),"",C93*E93)</f>
        <v/>
      </c>
      <c r="G93" s="21" t="n"/>
    </row>
    <row r="94">
      <c r="A94" s="26" t="n"/>
      <c r="B94" s="21" t="n"/>
      <c r="C94" s="22" t="n"/>
      <c r="D94" s="22" t="n"/>
      <c r="E94" s="22" t="n"/>
      <c r="F94" s="23">
        <f>IF(OR(C94="",E94=""),"",C94*E94)</f>
        <v/>
      </c>
      <c r="G94" s="21" t="n"/>
    </row>
    <row r="95">
      <c r="A95" s="26" t="n"/>
      <c r="B95" s="21" t="n"/>
      <c r="C95" s="22" t="n"/>
      <c r="D95" s="22" t="n"/>
      <c r="E95" s="22" t="n"/>
      <c r="F95" s="23">
        <f>IF(OR(C95="",E95=""),"",C95*E95)</f>
        <v/>
      </c>
      <c r="G95" s="21" t="n"/>
    </row>
    <row r="96">
      <c r="A96" s="26" t="n"/>
      <c r="B96" s="21" t="n"/>
      <c r="C96" s="22" t="n"/>
      <c r="D96" s="22" t="n"/>
      <c r="E96" s="22" t="n"/>
      <c r="F96" s="23">
        <f>IF(OR(C96="",E96=""),"",C96*E96)</f>
        <v/>
      </c>
      <c r="G96" s="21" t="n"/>
    </row>
    <row r="97">
      <c r="A97" s="26" t="n"/>
      <c r="B97" s="21" t="n"/>
      <c r="C97" s="22" t="n"/>
      <c r="D97" s="22" t="n"/>
      <c r="E97" s="22" t="n"/>
      <c r="F97" s="23">
        <f>IF(OR(C97="",E97=""),"",C97*E97)</f>
        <v/>
      </c>
      <c r="G97" s="21" t="n"/>
    </row>
    <row r="98">
      <c r="A98" s="26" t="n"/>
      <c r="B98" s="21" t="n"/>
      <c r="C98" s="22" t="n"/>
      <c r="D98" s="22" t="n"/>
      <c r="E98" s="22" t="n"/>
      <c r="F98" s="23">
        <f>IF(OR(C98="",E98=""),"",C98*E98)</f>
        <v/>
      </c>
      <c r="G98" s="21" t="n"/>
    </row>
    <row r="99">
      <c r="A99" s="26" t="n"/>
      <c r="B99" s="21" t="n"/>
      <c r="C99" s="22" t="n"/>
      <c r="D99" s="22" t="n"/>
      <c r="E99" s="22" t="n"/>
      <c r="F99" s="23">
        <f>IF(OR(C99="",E99=""),"",C99*E99)</f>
        <v/>
      </c>
      <c r="G99" s="21" t="n"/>
    </row>
    <row r="100">
      <c r="A100" s="26" t="n"/>
      <c r="B100" s="21" t="n"/>
      <c r="C100" s="22" t="n"/>
      <c r="D100" s="22" t="n"/>
      <c r="E100" s="22" t="n"/>
      <c r="F100" s="23">
        <f>IF(OR(C100="",E100=""),"",C100*E100)</f>
        <v/>
      </c>
      <c r="G100" s="21" t="n"/>
    </row>
    <row r="101">
      <c r="A101" s="26" t="n"/>
      <c r="B101" s="21" t="n"/>
      <c r="C101" s="22" t="n"/>
      <c r="D101" s="22" t="n"/>
      <c r="E101" s="22" t="n"/>
      <c r="F101" s="23">
        <f>IF(OR(C101="",E101=""),"",C101*E101)</f>
        <v/>
      </c>
      <c r="G101" s="21" t="n"/>
    </row>
    <row r="102">
      <c r="A102" s="26" t="n"/>
      <c r="B102" s="21" t="n"/>
      <c r="C102" s="22" t="n"/>
      <c r="D102" s="22" t="n"/>
      <c r="E102" s="22" t="n"/>
      <c r="F102" s="23">
        <f>IF(OR(C102="",E102=""),"",C102*E102)</f>
        <v/>
      </c>
      <c r="G102" s="21" t="n"/>
    </row>
    <row r="103">
      <c r="A103" s="26" t="n"/>
      <c r="B103" s="21" t="n"/>
      <c r="C103" s="22" t="n"/>
      <c r="D103" s="22" t="n"/>
      <c r="E103" s="22" t="n"/>
      <c r="F103" s="23">
        <f>IF(OR(C103="",E103=""),"",C103*E103)</f>
        <v/>
      </c>
      <c r="G103" s="21" t="n"/>
    </row>
    <row r="104">
      <c r="A104" s="26" t="n"/>
      <c r="B104" s="21" t="n"/>
      <c r="C104" s="22" t="n"/>
      <c r="D104" s="22" t="n"/>
      <c r="E104" s="22" t="n"/>
      <c r="F104" s="23">
        <f>IF(OR(C104="",E104=""),"",C104*E104)</f>
        <v/>
      </c>
      <c r="G104" s="21" t="n"/>
    </row>
    <row r="105">
      <c r="A105" s="26" t="n"/>
      <c r="B105" s="21" t="n"/>
      <c r="C105" s="22" t="n"/>
      <c r="D105" s="22" t="n"/>
      <c r="E105" s="22" t="n"/>
      <c r="F105" s="23">
        <f>IF(OR(C105="",E105=""),"",C105*E105)</f>
        <v/>
      </c>
      <c r="G105" s="21" t="n"/>
    </row>
    <row r="106">
      <c r="A106" s="26" t="n"/>
      <c r="B106" s="21" t="n"/>
      <c r="C106" s="22" t="n"/>
      <c r="D106" s="22" t="n"/>
      <c r="E106" s="22" t="n"/>
      <c r="F106" s="23">
        <f>IF(OR(C106="",E106=""),"",C106*E106)</f>
        <v/>
      </c>
      <c r="G106" s="21" t="n"/>
    </row>
    <row r="107">
      <c r="A107" s="26" t="n"/>
      <c r="B107" s="21" t="n"/>
      <c r="C107" s="22" t="n"/>
      <c r="D107" s="22" t="n"/>
      <c r="E107" s="22" t="n"/>
      <c r="F107" s="23">
        <f>IF(OR(C107="",E107=""),"",C107*E107)</f>
        <v/>
      </c>
      <c r="G107" s="21" t="n"/>
    </row>
    <row r="108">
      <c r="A108" s="26" t="n"/>
      <c r="B108" s="21" t="n"/>
      <c r="C108" s="22" t="n"/>
      <c r="D108" s="22" t="n"/>
      <c r="E108" s="22" t="n"/>
      <c r="F108" s="23">
        <f>IF(OR(C108="",E108=""),"",C108*E108)</f>
        <v/>
      </c>
      <c r="G108" s="21" t="n"/>
    </row>
    <row r="109">
      <c r="A109" s="26" t="n"/>
      <c r="B109" s="21" t="n"/>
      <c r="C109" s="22" t="n"/>
      <c r="D109" s="22" t="n"/>
      <c r="E109" s="22" t="n"/>
      <c r="F109" s="23">
        <f>IF(OR(C109="",E109=""),"",C109*E109)</f>
        <v/>
      </c>
      <c r="G109" s="21" t="n"/>
    </row>
    <row r="110">
      <c r="A110" s="26" t="n"/>
      <c r="B110" s="21" t="n"/>
      <c r="C110" s="22" t="n"/>
      <c r="D110" s="22" t="n"/>
      <c r="E110" s="22" t="n"/>
      <c r="F110" s="23">
        <f>IF(OR(C110="",E110=""),"",C110*E110)</f>
        <v/>
      </c>
      <c r="G110" s="21" t="n"/>
    </row>
    <row r="111">
      <c r="A111" s="26" t="n"/>
      <c r="B111" s="21" t="n"/>
      <c r="C111" s="22" t="n"/>
      <c r="D111" s="22" t="n"/>
      <c r="E111" s="22" t="n"/>
      <c r="F111" s="23">
        <f>IF(OR(C111="",E111=""),"",C111*E111)</f>
        <v/>
      </c>
      <c r="G111" s="21" t="n"/>
    </row>
    <row r="112">
      <c r="A112" s="26" t="n"/>
      <c r="B112" s="21" t="n"/>
      <c r="C112" s="22" t="n"/>
      <c r="D112" s="22" t="n"/>
      <c r="E112" s="22" t="n"/>
      <c r="F112" s="23">
        <f>IF(OR(C112="",E112=""),"",C112*E112)</f>
        <v/>
      </c>
      <c r="G112" s="21" t="n"/>
    </row>
    <row r="113">
      <c r="A113" s="26" t="n"/>
      <c r="B113" s="21" t="n"/>
      <c r="C113" s="22" t="n"/>
      <c r="D113" s="22" t="n"/>
      <c r="E113" s="22" t="n"/>
      <c r="F113" s="23">
        <f>IF(OR(C113="",E113=""),"",C113*E113)</f>
        <v/>
      </c>
      <c r="G113" s="21" t="n"/>
    </row>
    <row r="114">
      <c r="A114" s="26" t="n"/>
      <c r="B114" s="21" t="n"/>
      <c r="C114" s="22" t="n"/>
      <c r="D114" s="22" t="n"/>
      <c r="E114" s="22" t="n"/>
      <c r="F114" s="23">
        <f>IF(OR(C114="",E114=""),"",C114*E114)</f>
        <v/>
      </c>
      <c r="G114" s="21" t="n"/>
    </row>
    <row r="115">
      <c r="A115" s="26" t="n"/>
      <c r="B115" s="21" t="n"/>
      <c r="C115" s="22" t="n"/>
      <c r="D115" s="22" t="n"/>
      <c r="E115" s="22" t="n"/>
      <c r="F115" s="23">
        <f>IF(OR(C115="",E115=""),"",C115*E115)</f>
        <v/>
      </c>
      <c r="G115" s="21" t="n"/>
    </row>
    <row r="116">
      <c r="A116" s="26" t="n"/>
      <c r="B116" s="21" t="n"/>
      <c r="C116" s="22" t="n"/>
      <c r="D116" s="22" t="n"/>
      <c r="E116" s="22" t="n"/>
      <c r="F116" s="23">
        <f>IF(OR(C116="",E116=""),"",C116*E116)</f>
        <v/>
      </c>
      <c r="G116" s="21" t="n"/>
    </row>
    <row r="117">
      <c r="A117" s="26" t="n"/>
      <c r="B117" s="21" t="n"/>
      <c r="C117" s="22" t="n"/>
      <c r="D117" s="22" t="n"/>
      <c r="E117" s="22" t="n"/>
      <c r="F117" s="23">
        <f>IF(OR(C117="",E117=""),"",C117*E117)</f>
        <v/>
      </c>
      <c r="G117" s="21" t="n"/>
    </row>
    <row r="118">
      <c r="A118" s="26" t="n"/>
      <c r="B118" s="21" t="n"/>
      <c r="C118" s="22" t="n"/>
      <c r="D118" s="22" t="n"/>
      <c r="E118" s="22" t="n"/>
      <c r="F118" s="23">
        <f>IF(OR(C118="",E118=""),"",C118*E118)</f>
        <v/>
      </c>
      <c r="G118" s="21" t="n"/>
    </row>
    <row r="119">
      <c r="A119" s="26" t="n"/>
      <c r="B119" s="21" t="n"/>
      <c r="C119" s="22" t="n"/>
      <c r="D119" s="22" t="n"/>
      <c r="E119" s="22" t="n"/>
      <c r="F119" s="23">
        <f>IF(OR(C119="",E119=""),"",C119*E119)</f>
        <v/>
      </c>
      <c r="G119" s="21" t="n"/>
    </row>
    <row r="120">
      <c r="A120" s="26" t="n"/>
      <c r="B120" s="21" t="n"/>
      <c r="C120" s="22" t="n"/>
      <c r="D120" s="22" t="n"/>
      <c r="E120" s="22" t="n"/>
      <c r="F120" s="23">
        <f>IF(OR(C120="",E120=""),"",C120*E120)</f>
        <v/>
      </c>
      <c r="G120" s="21" t="n"/>
    </row>
    <row r="121">
      <c r="A121" s="26" t="n"/>
      <c r="B121" s="21" t="n"/>
      <c r="C121" s="22" t="n"/>
      <c r="D121" s="22" t="n"/>
      <c r="E121" s="22" t="n"/>
      <c r="F121" s="23">
        <f>IF(OR(C121="",E121=""),"",C121*E121)</f>
        <v/>
      </c>
      <c r="G121" s="21" t="n"/>
    </row>
    <row r="122">
      <c r="A122" s="26" t="n"/>
      <c r="B122" s="21" t="n"/>
      <c r="C122" s="22" t="n"/>
      <c r="D122" s="22" t="n"/>
      <c r="E122" s="22" t="n"/>
      <c r="F122" s="23">
        <f>IF(OR(C122="",E122=""),"",C122*E122)</f>
        <v/>
      </c>
      <c r="G122" s="21" t="n"/>
    </row>
    <row r="123">
      <c r="A123" s="26" t="n"/>
      <c r="B123" s="21" t="n"/>
      <c r="C123" s="22" t="n"/>
      <c r="D123" s="22" t="n"/>
      <c r="E123" s="22" t="n"/>
      <c r="F123" s="23">
        <f>IF(OR(C123="",E123=""),"",C123*E123)</f>
        <v/>
      </c>
      <c r="G123" s="21" t="n"/>
    </row>
    <row r="124">
      <c r="A124" s="26" t="n"/>
      <c r="B124" s="21" t="n"/>
      <c r="C124" s="22" t="n"/>
      <c r="D124" s="22" t="n"/>
      <c r="E124" s="22" t="n"/>
      <c r="F124" s="23">
        <f>IF(OR(C124="",E124=""),"",C124*E124)</f>
        <v/>
      </c>
      <c r="G124" s="21" t="n"/>
    </row>
    <row r="125">
      <c r="A125" s="26" t="n"/>
      <c r="B125" s="21" t="n"/>
      <c r="C125" s="22" t="n"/>
      <c r="D125" s="22" t="n"/>
      <c r="E125" s="22" t="n"/>
      <c r="F125" s="23">
        <f>IF(OR(C125="",E125=""),"",C125*E125)</f>
        <v/>
      </c>
      <c r="G125" s="21" t="n"/>
    </row>
    <row r="126">
      <c r="A126" s="26" t="n"/>
      <c r="B126" s="21" t="n"/>
      <c r="C126" s="22" t="n"/>
      <c r="D126" s="22" t="n"/>
      <c r="E126" s="22" t="n"/>
      <c r="F126" s="23">
        <f>IF(OR(C126="",E126=""),"",C126*E126)</f>
        <v/>
      </c>
      <c r="G126" s="21" t="n"/>
    </row>
    <row r="127">
      <c r="A127" s="26" t="n"/>
      <c r="B127" s="21" t="n"/>
      <c r="C127" s="22" t="n"/>
      <c r="D127" s="22" t="n"/>
      <c r="E127" s="22" t="n"/>
      <c r="F127" s="23">
        <f>IF(OR(C127="",E127=""),"",C127*E127)</f>
        <v/>
      </c>
      <c r="G127" s="21" t="n"/>
    </row>
    <row r="128">
      <c r="A128" s="26" t="n"/>
      <c r="B128" s="21" t="n"/>
      <c r="C128" s="22" t="n"/>
      <c r="D128" s="22" t="n"/>
      <c r="E128" s="22" t="n"/>
      <c r="F128" s="23">
        <f>IF(OR(C128="",E128=""),"",C128*E128)</f>
        <v/>
      </c>
      <c r="G128" s="21" t="n"/>
    </row>
    <row r="129">
      <c r="A129" s="26" t="n"/>
      <c r="B129" s="21" t="n"/>
      <c r="C129" s="22" t="n"/>
      <c r="D129" s="22" t="n"/>
      <c r="E129" s="22" t="n"/>
      <c r="F129" s="23">
        <f>IF(OR(C129="",E129=""),"",C129*E129)</f>
        <v/>
      </c>
      <c r="G129" s="21" t="n"/>
    </row>
    <row r="130">
      <c r="A130" s="26" t="n"/>
      <c r="B130" s="21" t="n"/>
      <c r="C130" s="22" t="n"/>
      <c r="D130" s="22" t="n"/>
      <c r="E130" s="22" t="n"/>
      <c r="F130" s="23">
        <f>IF(OR(C130="",E130=""),"",C130*E130)</f>
        <v/>
      </c>
      <c r="G130" s="21" t="n"/>
    </row>
    <row r="131">
      <c r="A131" s="26" t="n"/>
      <c r="B131" s="21" t="n"/>
      <c r="C131" s="22" t="n"/>
      <c r="D131" s="22" t="n"/>
      <c r="E131" s="22" t="n"/>
      <c r="F131" s="23">
        <f>IF(OR(C131="",E131=""),"",C131*E131)</f>
        <v/>
      </c>
      <c r="G131" s="21" t="n"/>
    </row>
    <row r="132">
      <c r="A132" s="26" t="n"/>
      <c r="B132" s="21" t="n"/>
      <c r="C132" s="22" t="n"/>
      <c r="D132" s="22" t="n"/>
      <c r="E132" s="22" t="n"/>
      <c r="F132" s="23">
        <f>IF(OR(C132="",E132=""),"",C132*E132)</f>
        <v/>
      </c>
      <c r="G132" s="21" t="n"/>
    </row>
    <row r="133">
      <c r="A133" s="26" t="n"/>
      <c r="B133" s="21" t="n"/>
      <c r="C133" s="22" t="n"/>
      <c r="D133" s="22" t="n"/>
      <c r="E133" s="22" t="n"/>
      <c r="F133" s="23">
        <f>IF(OR(C133="",E133=""),"",C133*E133)</f>
        <v/>
      </c>
      <c r="G133" s="21" t="n"/>
    </row>
    <row r="134">
      <c r="A134" s="26" t="n"/>
      <c r="B134" s="21" t="n"/>
      <c r="C134" s="22" t="n"/>
      <c r="D134" s="22" t="n"/>
      <c r="E134" s="22" t="n"/>
      <c r="F134" s="23">
        <f>IF(OR(C134="",E134=""),"",C134*E134)</f>
        <v/>
      </c>
      <c r="G134" s="21" t="n"/>
    </row>
    <row r="135">
      <c r="A135" s="26" t="n"/>
      <c r="B135" s="21" t="n"/>
      <c r="C135" s="22" t="n"/>
      <c r="D135" s="22" t="n"/>
      <c r="E135" s="22" t="n"/>
      <c r="F135" s="23">
        <f>IF(OR(C135="",E135=""),"",C135*E135)</f>
        <v/>
      </c>
      <c r="G135" s="21" t="n"/>
    </row>
    <row r="136">
      <c r="A136" s="26" t="n"/>
      <c r="B136" s="21" t="n"/>
      <c r="C136" s="22" t="n"/>
      <c r="D136" s="22" t="n"/>
      <c r="E136" s="22" t="n"/>
      <c r="F136" s="23">
        <f>IF(OR(C136="",E136=""),"",C136*E136)</f>
        <v/>
      </c>
      <c r="G136" s="21" t="n"/>
    </row>
    <row r="137">
      <c r="A137" s="26" t="n"/>
      <c r="B137" s="21" t="n"/>
      <c r="C137" s="22" t="n"/>
      <c r="D137" s="22" t="n"/>
      <c r="E137" s="22" t="n"/>
      <c r="F137" s="23">
        <f>IF(OR(C137="",E137=""),"",C137*E137)</f>
        <v/>
      </c>
      <c r="G137" s="21" t="n"/>
    </row>
    <row r="138">
      <c r="A138" s="26" t="n"/>
      <c r="B138" s="21" t="n"/>
      <c r="C138" s="22" t="n"/>
      <c r="D138" s="22" t="n"/>
      <c r="E138" s="22" t="n"/>
      <c r="F138" s="23">
        <f>IF(OR(C138="",E138=""),"",C138*E138)</f>
        <v/>
      </c>
      <c r="G138" s="21" t="n"/>
    </row>
    <row r="139">
      <c r="A139" s="26" t="n"/>
      <c r="B139" s="21" t="n"/>
      <c r="C139" s="22" t="n"/>
      <c r="D139" s="22" t="n"/>
      <c r="E139" s="22" t="n"/>
      <c r="F139" s="23">
        <f>IF(OR(C139="",E139=""),"",C139*E139)</f>
        <v/>
      </c>
      <c r="G139" s="21" t="n"/>
    </row>
    <row r="140">
      <c r="A140" s="26" t="n"/>
      <c r="B140" s="21" t="n"/>
      <c r="C140" s="22" t="n"/>
      <c r="D140" s="22" t="n"/>
      <c r="E140" s="22" t="n"/>
      <c r="F140" s="23">
        <f>IF(OR(C140="",E140=""),"",C140*E140)</f>
        <v/>
      </c>
      <c r="G140" s="21" t="n"/>
    </row>
    <row r="141">
      <c r="A141" s="26" t="n"/>
      <c r="B141" s="21" t="n"/>
      <c r="C141" s="22" t="n"/>
      <c r="D141" s="22" t="n"/>
      <c r="E141" s="22" t="n"/>
      <c r="F141" s="23">
        <f>IF(OR(C141="",E141=""),"",C141*E141)</f>
        <v/>
      </c>
      <c r="G141" s="21" t="n"/>
    </row>
    <row r="142">
      <c r="A142" s="26" t="n"/>
      <c r="B142" s="21" t="n"/>
      <c r="C142" s="22" t="n"/>
      <c r="D142" s="22" t="n"/>
      <c r="E142" s="22" t="n"/>
      <c r="F142" s="23">
        <f>IF(OR(C142="",E142=""),"",C142*E142)</f>
        <v/>
      </c>
      <c r="G142" s="21" t="n"/>
    </row>
    <row r="143">
      <c r="A143" s="26" t="n"/>
      <c r="B143" s="21" t="n"/>
      <c r="C143" s="22" t="n"/>
      <c r="D143" s="22" t="n"/>
      <c r="E143" s="22" t="n"/>
      <c r="F143" s="23">
        <f>IF(OR(C143="",E143=""),"",C143*E143)</f>
        <v/>
      </c>
      <c r="G143" s="21" t="n"/>
    </row>
    <row r="144">
      <c r="A144" s="26" t="n"/>
      <c r="B144" s="21" t="n"/>
      <c r="C144" s="22" t="n"/>
      <c r="D144" s="22" t="n"/>
      <c r="E144" s="22" t="n"/>
      <c r="F144" s="23">
        <f>IF(OR(C144="",E144=""),"",C144*E144)</f>
        <v/>
      </c>
      <c r="G144" s="21" t="n"/>
    </row>
    <row r="145">
      <c r="A145" s="26" t="n"/>
      <c r="B145" s="21" t="n"/>
      <c r="C145" s="22" t="n"/>
      <c r="D145" s="22" t="n"/>
      <c r="E145" s="22" t="n"/>
      <c r="F145" s="23">
        <f>IF(OR(C145="",E145=""),"",C145*E145)</f>
        <v/>
      </c>
      <c r="G145" s="21" t="n"/>
    </row>
    <row r="146">
      <c r="A146" s="26" t="n"/>
      <c r="B146" s="21" t="n"/>
      <c r="C146" s="22" t="n"/>
      <c r="D146" s="22" t="n"/>
      <c r="E146" s="22" t="n"/>
      <c r="F146" s="23">
        <f>IF(OR(C146="",E146=""),"",C146*E146)</f>
        <v/>
      </c>
      <c r="G146" s="21" t="n"/>
    </row>
    <row r="147">
      <c r="A147" s="26" t="n"/>
      <c r="B147" s="21" t="n"/>
      <c r="C147" s="22" t="n"/>
      <c r="D147" s="22" t="n"/>
      <c r="E147" s="22" t="n"/>
      <c r="F147" s="23">
        <f>IF(OR(C147="",E147=""),"",C147*E147)</f>
        <v/>
      </c>
      <c r="G147" s="21" t="n"/>
    </row>
    <row r="148">
      <c r="A148" s="26" t="n"/>
      <c r="B148" s="21" t="n"/>
      <c r="C148" s="22" t="n"/>
      <c r="D148" s="22" t="n"/>
      <c r="E148" s="22" t="n"/>
      <c r="F148" s="23">
        <f>IF(OR(C148="",E148=""),"",C148*E148)</f>
        <v/>
      </c>
      <c r="G148" s="21" t="n"/>
    </row>
    <row r="149">
      <c r="A149" s="26" t="n"/>
      <c r="B149" s="21" t="n"/>
      <c r="C149" s="22" t="n"/>
      <c r="D149" s="22" t="n"/>
      <c r="E149" s="22" t="n"/>
      <c r="F149" s="23">
        <f>IF(OR(C149="",E149=""),"",C149*E149)</f>
        <v/>
      </c>
      <c r="G149" s="21" t="n"/>
    </row>
    <row r="150">
      <c r="A150" s="26" t="n"/>
      <c r="B150" s="21" t="n"/>
      <c r="C150" s="22" t="n"/>
      <c r="D150" s="22" t="n"/>
      <c r="E150" s="22" t="n"/>
      <c r="F150" s="23">
        <f>IF(OR(C150="",E150=""),"",C150*E150)</f>
        <v/>
      </c>
      <c r="G150" s="21" t="n"/>
    </row>
    <row r="151">
      <c r="A151" s="26" t="n"/>
      <c r="B151" s="21" t="n"/>
      <c r="C151" s="22" t="n"/>
      <c r="D151" s="22" t="n"/>
      <c r="E151" s="22" t="n"/>
      <c r="F151" s="23">
        <f>IF(OR(C151="",E151=""),"",C151*E151)</f>
        <v/>
      </c>
      <c r="G151" s="21" t="n"/>
    </row>
    <row r="152">
      <c r="A152" s="26" t="n"/>
      <c r="B152" s="21" t="n"/>
      <c r="C152" s="22" t="n"/>
      <c r="D152" s="22" t="n"/>
      <c r="E152" s="22" t="n"/>
      <c r="F152" s="23">
        <f>IF(OR(C152="",E152=""),"",C152*E152)</f>
        <v/>
      </c>
      <c r="G152" s="21" t="n"/>
    </row>
    <row r="153">
      <c r="A153" s="26" t="n"/>
      <c r="B153" s="21" t="n"/>
      <c r="C153" s="22" t="n"/>
      <c r="D153" s="22" t="n"/>
      <c r="E153" s="22" t="n"/>
      <c r="F153" s="23">
        <f>IF(OR(C153="",E153=""),"",C153*E153)</f>
        <v/>
      </c>
      <c r="G153" s="21" t="n"/>
    </row>
    <row r="154">
      <c r="A154" s="26" t="n"/>
      <c r="B154" s="21" t="n"/>
      <c r="C154" s="22" t="n"/>
      <c r="D154" s="22" t="n"/>
      <c r="E154" s="22" t="n"/>
      <c r="F154" s="23">
        <f>IF(OR(C154="",E154=""),"",C154*E154)</f>
        <v/>
      </c>
      <c r="G154" s="21" t="n"/>
    </row>
    <row r="155">
      <c r="A155" s="26" t="n"/>
      <c r="B155" s="21" t="n"/>
      <c r="C155" s="22" t="n"/>
      <c r="D155" s="22" t="n"/>
      <c r="E155" s="22" t="n"/>
      <c r="F155" s="23">
        <f>IF(OR(C155="",E155=""),"",C155*E155)</f>
        <v/>
      </c>
      <c r="G155" s="21" t="n"/>
    </row>
    <row r="156">
      <c r="A156" s="26" t="n"/>
      <c r="B156" s="21" t="n"/>
      <c r="C156" s="22" t="n"/>
      <c r="D156" s="22" t="n"/>
      <c r="E156" s="22" t="n"/>
      <c r="F156" s="23">
        <f>IF(OR(C156="",E156=""),"",C156*E156)</f>
        <v/>
      </c>
      <c r="G156" s="21" t="n"/>
    </row>
    <row r="157">
      <c r="A157" s="26" t="n"/>
      <c r="B157" s="21" t="n"/>
      <c r="C157" s="22" t="n"/>
      <c r="D157" s="22" t="n"/>
      <c r="E157" s="22" t="n"/>
      <c r="F157" s="23">
        <f>IF(OR(C157="",E157=""),"",C157*E157)</f>
        <v/>
      </c>
      <c r="G157" s="21" t="n"/>
    </row>
    <row r="158">
      <c r="A158" s="26" t="n"/>
      <c r="B158" s="21" t="n"/>
      <c r="C158" s="22" t="n"/>
      <c r="D158" s="22" t="n"/>
      <c r="E158" s="22" t="n"/>
      <c r="F158" s="23">
        <f>IF(OR(C158="",E158=""),"",C158*E158)</f>
        <v/>
      </c>
      <c r="G158" s="21" t="n"/>
    </row>
    <row r="159">
      <c r="A159" s="26" t="n"/>
      <c r="B159" s="21" t="n"/>
      <c r="C159" s="22" t="n"/>
      <c r="D159" s="22" t="n"/>
      <c r="E159" s="22" t="n"/>
      <c r="F159" s="23">
        <f>IF(OR(C159="",E159=""),"",C159*E159)</f>
        <v/>
      </c>
      <c r="G159" s="21" t="n"/>
    </row>
    <row r="160">
      <c r="A160" s="26" t="n"/>
      <c r="B160" s="21" t="n"/>
      <c r="C160" s="22" t="n"/>
      <c r="D160" s="22" t="n"/>
      <c r="E160" s="22" t="n"/>
      <c r="F160" s="23">
        <f>IF(OR(C160="",E160=""),"",C160*E160)</f>
        <v/>
      </c>
      <c r="G160" s="21" t="n"/>
    </row>
    <row r="161">
      <c r="A161" s="26" t="n"/>
      <c r="B161" s="21" t="n"/>
      <c r="C161" s="22" t="n"/>
      <c r="D161" s="22" t="n"/>
      <c r="E161" s="22" t="n"/>
      <c r="F161" s="23">
        <f>IF(OR(C161="",E161=""),"",C161*E161)</f>
        <v/>
      </c>
      <c r="G161" s="21" t="n"/>
    </row>
    <row r="162">
      <c r="A162" s="26" t="n"/>
      <c r="B162" s="21" t="n"/>
      <c r="C162" s="22" t="n"/>
      <c r="D162" s="22" t="n"/>
      <c r="E162" s="22" t="n"/>
      <c r="F162" s="23">
        <f>IF(OR(C162="",E162=""),"",C162*E162)</f>
        <v/>
      </c>
      <c r="G162" s="21" t="n"/>
    </row>
    <row r="163">
      <c r="A163" s="26" t="n"/>
      <c r="B163" s="21" t="n"/>
      <c r="C163" s="22" t="n"/>
      <c r="D163" s="22" t="n"/>
      <c r="E163" s="22" t="n"/>
      <c r="F163" s="23">
        <f>IF(OR(C163="",E163=""),"",C163*E163)</f>
        <v/>
      </c>
      <c r="G163" s="21" t="n"/>
    </row>
    <row r="164">
      <c r="A164" s="26" t="n"/>
      <c r="B164" s="21" t="n"/>
      <c r="C164" s="22" t="n"/>
      <c r="D164" s="22" t="n"/>
      <c r="E164" s="22" t="n"/>
      <c r="F164" s="23">
        <f>IF(OR(C164="",E164=""),"",C164*E164)</f>
        <v/>
      </c>
      <c r="G164" s="21" t="n"/>
    </row>
    <row r="165">
      <c r="A165" s="26" t="n"/>
      <c r="B165" s="21" t="n"/>
      <c r="C165" s="22" t="n"/>
      <c r="D165" s="22" t="n"/>
      <c r="E165" s="22" t="n"/>
      <c r="F165" s="23">
        <f>IF(OR(C165="",E165=""),"",C165*E165)</f>
        <v/>
      </c>
      <c r="G165" s="21" t="n"/>
    </row>
    <row r="166">
      <c r="A166" s="26" t="n"/>
      <c r="B166" s="21" t="n"/>
      <c r="C166" s="22" t="n"/>
      <c r="D166" s="22" t="n"/>
      <c r="E166" s="22" t="n"/>
      <c r="F166" s="23">
        <f>IF(OR(C166="",E166=""),"",C166*E166)</f>
        <v/>
      </c>
      <c r="G166" s="21" t="n"/>
    </row>
    <row r="167">
      <c r="A167" s="26" t="n"/>
      <c r="B167" s="21" t="n"/>
      <c r="C167" s="22" t="n"/>
      <c r="D167" s="22" t="n"/>
      <c r="E167" s="22" t="n"/>
      <c r="F167" s="23">
        <f>IF(OR(C167="",E167=""),"",C167*E167)</f>
        <v/>
      </c>
      <c r="G167" s="21" t="n"/>
    </row>
    <row r="168">
      <c r="A168" s="26" t="n"/>
      <c r="B168" s="21" t="n"/>
      <c r="C168" s="22" t="n"/>
      <c r="D168" s="22" t="n"/>
      <c r="E168" s="22" t="n"/>
      <c r="F168" s="23">
        <f>IF(OR(C168="",E168=""),"",C168*E168)</f>
        <v/>
      </c>
      <c r="G168" s="21" t="n"/>
    </row>
    <row r="169">
      <c r="A169" s="26" t="n"/>
      <c r="B169" s="21" t="n"/>
      <c r="C169" s="22" t="n"/>
      <c r="D169" s="22" t="n"/>
      <c r="E169" s="22" t="n"/>
      <c r="F169" s="23">
        <f>IF(OR(C169="",E169=""),"",C169*E169)</f>
        <v/>
      </c>
      <c r="G169" s="21" t="n"/>
    </row>
    <row r="170">
      <c r="A170" s="26" t="n"/>
      <c r="B170" s="21" t="n"/>
      <c r="C170" s="22" t="n"/>
      <c r="D170" s="22" t="n"/>
      <c r="E170" s="22" t="n"/>
      <c r="F170" s="23">
        <f>IF(OR(C170="",E170=""),"",C170*E170)</f>
        <v/>
      </c>
      <c r="G170" s="21" t="n"/>
    </row>
    <row r="171">
      <c r="A171" s="26" t="n"/>
      <c r="B171" s="21" t="n"/>
      <c r="C171" s="22" t="n"/>
      <c r="D171" s="22" t="n"/>
      <c r="E171" s="22" t="n"/>
      <c r="F171" s="23">
        <f>IF(OR(C171="",E171=""),"",C171*E171)</f>
        <v/>
      </c>
      <c r="G171" s="21" t="n"/>
    </row>
    <row r="172">
      <c r="A172" s="26" t="n"/>
      <c r="B172" s="21" t="n"/>
      <c r="C172" s="22" t="n"/>
      <c r="D172" s="22" t="n"/>
      <c r="E172" s="22" t="n"/>
      <c r="F172" s="23">
        <f>IF(OR(C172="",E172=""),"",C172*E172)</f>
        <v/>
      </c>
      <c r="G172" s="21" t="n"/>
    </row>
    <row r="173">
      <c r="A173" s="26" t="n"/>
      <c r="B173" s="21" t="n"/>
      <c r="C173" s="22" t="n"/>
      <c r="D173" s="22" t="n"/>
      <c r="E173" s="22" t="n"/>
      <c r="F173" s="23">
        <f>IF(OR(C173="",E173=""),"",C173*E173)</f>
        <v/>
      </c>
      <c r="G173" s="21" t="n"/>
    </row>
    <row r="174">
      <c r="A174" s="26" t="n"/>
      <c r="B174" s="21" t="n"/>
      <c r="C174" s="22" t="n"/>
      <c r="D174" s="22" t="n"/>
      <c r="E174" s="22" t="n"/>
      <c r="F174" s="23">
        <f>IF(OR(C174="",E174=""),"",C174*E174)</f>
        <v/>
      </c>
      <c r="G174" s="21" t="n"/>
    </row>
    <row r="175">
      <c r="A175" s="26" t="n"/>
      <c r="B175" s="21" t="n"/>
      <c r="C175" s="22" t="n"/>
      <c r="D175" s="22" t="n"/>
      <c r="E175" s="22" t="n"/>
      <c r="F175" s="23">
        <f>IF(OR(C175="",E175=""),"",C175*E175)</f>
        <v/>
      </c>
      <c r="G175" s="21" t="n"/>
    </row>
    <row r="176">
      <c r="A176" s="26" t="n"/>
      <c r="B176" s="21" t="n"/>
      <c r="C176" s="22" t="n"/>
      <c r="D176" s="22" t="n"/>
      <c r="E176" s="22" t="n"/>
      <c r="F176" s="23">
        <f>IF(OR(C176="",E176=""),"",C176*E176)</f>
        <v/>
      </c>
      <c r="G176" s="21" t="n"/>
    </row>
    <row r="177">
      <c r="A177" s="26" t="n"/>
      <c r="B177" s="21" t="n"/>
      <c r="C177" s="22" t="n"/>
      <c r="D177" s="22" t="n"/>
      <c r="E177" s="22" t="n"/>
      <c r="F177" s="23">
        <f>IF(OR(C177="",E177=""),"",C177*E177)</f>
        <v/>
      </c>
      <c r="G177" s="21" t="n"/>
    </row>
    <row r="178">
      <c r="A178" s="26" t="n"/>
      <c r="B178" s="21" t="n"/>
      <c r="C178" s="22" t="n"/>
      <c r="D178" s="22" t="n"/>
      <c r="E178" s="22" t="n"/>
      <c r="F178" s="23">
        <f>IF(OR(C178="",E178=""),"",C178*E178)</f>
        <v/>
      </c>
      <c r="G178" s="21" t="n"/>
    </row>
    <row r="179">
      <c r="A179" s="26" t="n"/>
      <c r="B179" s="21" t="n"/>
      <c r="C179" s="22" t="n"/>
      <c r="D179" s="22" t="n"/>
      <c r="E179" s="22" t="n"/>
      <c r="F179" s="23">
        <f>IF(OR(C179="",E179=""),"",C179*E179)</f>
        <v/>
      </c>
      <c r="G179" s="21" t="n"/>
    </row>
    <row r="180">
      <c r="A180" s="26" t="n"/>
      <c r="B180" s="21" t="n"/>
      <c r="C180" s="22" t="n"/>
      <c r="D180" s="22" t="n"/>
      <c r="E180" s="22" t="n"/>
      <c r="F180" s="23">
        <f>IF(OR(C180="",E180=""),"",C180*E180)</f>
        <v/>
      </c>
      <c r="G180" s="21" t="n"/>
    </row>
    <row r="181">
      <c r="A181" s="26" t="n"/>
      <c r="B181" s="21" t="n"/>
      <c r="C181" s="22" t="n"/>
      <c r="D181" s="22" t="n"/>
      <c r="E181" s="22" t="n"/>
      <c r="F181" s="23">
        <f>IF(OR(C181="",E181=""),"",C181*E181)</f>
        <v/>
      </c>
      <c r="G181" s="21" t="n"/>
    </row>
    <row r="182">
      <c r="A182" s="26" t="n"/>
      <c r="B182" s="21" t="n"/>
      <c r="C182" s="22" t="n"/>
      <c r="D182" s="22" t="n"/>
      <c r="E182" s="22" t="n"/>
      <c r="F182" s="23">
        <f>IF(OR(C182="",E182=""),"",C182*E182)</f>
        <v/>
      </c>
      <c r="G182" s="21" t="n"/>
    </row>
    <row r="183">
      <c r="A183" s="26" t="n"/>
      <c r="B183" s="21" t="n"/>
      <c r="C183" s="22" t="n"/>
      <c r="D183" s="22" t="n"/>
      <c r="E183" s="22" t="n"/>
      <c r="F183" s="23">
        <f>IF(OR(C183="",E183=""),"",C183*E183)</f>
        <v/>
      </c>
      <c r="G183" s="21" t="n"/>
    </row>
    <row r="184">
      <c r="A184" s="26" t="n"/>
      <c r="B184" s="21" t="n"/>
      <c r="C184" s="22" t="n"/>
      <c r="D184" s="22" t="n"/>
      <c r="E184" s="22" t="n"/>
      <c r="F184" s="23">
        <f>IF(OR(C184="",E184=""),"",C184*E184)</f>
        <v/>
      </c>
      <c r="G184" s="21" t="n"/>
    </row>
    <row r="185">
      <c r="A185" s="26" t="n"/>
      <c r="B185" s="21" t="n"/>
      <c r="C185" s="22" t="n"/>
      <c r="D185" s="22" t="n"/>
      <c r="E185" s="22" t="n"/>
      <c r="F185" s="23">
        <f>IF(OR(C185="",E185=""),"",C185*E185)</f>
        <v/>
      </c>
      <c r="G185" s="21" t="n"/>
    </row>
    <row r="186">
      <c r="A186" s="26" t="n"/>
      <c r="B186" s="21" t="n"/>
      <c r="C186" s="22" t="n"/>
      <c r="D186" s="22" t="n"/>
      <c r="E186" s="22" t="n"/>
      <c r="F186" s="23">
        <f>IF(OR(C186="",E186=""),"",C186*E186)</f>
        <v/>
      </c>
      <c r="G186" s="21" t="n"/>
    </row>
    <row r="187">
      <c r="A187" s="26" t="n"/>
      <c r="B187" s="21" t="n"/>
      <c r="C187" s="22" t="n"/>
      <c r="D187" s="22" t="n"/>
      <c r="E187" s="22" t="n"/>
      <c r="F187" s="23">
        <f>IF(OR(C187="",E187=""),"",C187*E187)</f>
        <v/>
      </c>
      <c r="G187" s="21" t="n"/>
    </row>
    <row r="188">
      <c r="A188" s="26" t="n"/>
      <c r="B188" s="21" t="n"/>
      <c r="C188" s="22" t="n"/>
      <c r="D188" s="22" t="n"/>
      <c r="E188" s="22" t="n"/>
      <c r="F188" s="23">
        <f>IF(OR(C188="",E188=""),"",C188*E188)</f>
        <v/>
      </c>
      <c r="G188" s="21" t="n"/>
    </row>
    <row r="189">
      <c r="A189" s="26" t="n"/>
      <c r="B189" s="21" t="n"/>
      <c r="C189" s="22" t="n"/>
      <c r="D189" s="22" t="n"/>
      <c r="E189" s="22" t="n"/>
      <c r="F189" s="23">
        <f>IF(OR(C189="",E189=""),"",C189*E189)</f>
        <v/>
      </c>
      <c r="G189" s="21" t="n"/>
    </row>
    <row r="190">
      <c r="A190" s="26" t="n"/>
      <c r="B190" s="21" t="n"/>
      <c r="C190" s="22" t="n"/>
      <c r="D190" s="22" t="n"/>
      <c r="E190" s="22" t="n"/>
      <c r="F190" s="23">
        <f>IF(OR(C190="",E190=""),"",C190*E190)</f>
        <v/>
      </c>
      <c r="G190" s="21" t="n"/>
    </row>
    <row r="191">
      <c r="A191" s="26" t="n"/>
      <c r="B191" s="21" t="n"/>
      <c r="C191" s="22" t="n"/>
      <c r="D191" s="22" t="n"/>
      <c r="E191" s="22" t="n"/>
      <c r="F191" s="23">
        <f>IF(OR(C191="",E191=""),"",C191*E191)</f>
        <v/>
      </c>
      <c r="G191" s="21" t="n"/>
    </row>
    <row r="192">
      <c r="A192" s="26" t="n"/>
      <c r="B192" s="21" t="n"/>
      <c r="C192" s="22" t="n"/>
      <c r="D192" s="22" t="n"/>
      <c r="E192" s="22" t="n"/>
      <c r="F192" s="23">
        <f>IF(OR(C192="",E192=""),"",C192*E192)</f>
        <v/>
      </c>
      <c r="G192" s="21" t="n"/>
    </row>
    <row r="193">
      <c r="A193" s="26" t="n"/>
      <c r="B193" s="21" t="n"/>
      <c r="C193" s="22" t="n"/>
      <c r="D193" s="22" t="n"/>
      <c r="E193" s="22" t="n"/>
      <c r="F193" s="23">
        <f>IF(OR(C193="",E193=""),"",C193*E193)</f>
        <v/>
      </c>
      <c r="G193" s="21" t="n"/>
    </row>
    <row r="194">
      <c r="A194" s="26" t="n"/>
      <c r="B194" s="21" t="n"/>
      <c r="C194" s="22" t="n"/>
      <c r="D194" s="22" t="n"/>
      <c r="E194" s="22" t="n"/>
      <c r="F194" s="23">
        <f>IF(OR(C194="",E194=""),"",C194*E194)</f>
        <v/>
      </c>
      <c r="G194" s="21" t="n"/>
    </row>
    <row r="195">
      <c r="A195" s="26" t="n"/>
      <c r="B195" s="21" t="n"/>
      <c r="C195" s="22" t="n"/>
      <c r="D195" s="22" t="n"/>
      <c r="E195" s="22" t="n"/>
      <c r="F195" s="23">
        <f>IF(OR(C195="",E195=""),"",C195*E195)</f>
        <v/>
      </c>
      <c r="G195" s="21" t="n"/>
    </row>
    <row r="196">
      <c r="A196" s="26" t="n"/>
      <c r="B196" s="21" t="n"/>
      <c r="C196" s="22" t="n"/>
      <c r="D196" s="22" t="n"/>
      <c r="E196" s="22" t="n"/>
      <c r="F196" s="23">
        <f>IF(OR(C196="",E196=""),"",C196*E196)</f>
        <v/>
      </c>
      <c r="G196" s="21" t="n"/>
    </row>
    <row r="197">
      <c r="A197" s="26" t="n"/>
      <c r="B197" s="21" t="n"/>
      <c r="C197" s="22" t="n"/>
      <c r="D197" s="22" t="n"/>
      <c r="E197" s="22" t="n"/>
      <c r="F197" s="23">
        <f>IF(OR(C197="",E197=""),"",C197*E197)</f>
        <v/>
      </c>
      <c r="G197" s="21" t="n"/>
    </row>
    <row r="198">
      <c r="A198" s="26" t="n"/>
      <c r="B198" s="21" t="n"/>
      <c r="C198" s="22" t="n"/>
      <c r="D198" s="22" t="n"/>
      <c r="E198" s="22" t="n"/>
      <c r="F198" s="23">
        <f>IF(OR(C198="",E198=""),"",C198*E198)</f>
        <v/>
      </c>
      <c r="G198" s="21" t="n"/>
    </row>
    <row r="199">
      <c r="A199" s="26" t="n"/>
      <c r="B199" s="21" t="n"/>
      <c r="C199" s="22" t="n"/>
      <c r="D199" s="22" t="n"/>
      <c r="E199" s="22" t="n"/>
      <c r="F199" s="23">
        <f>IF(OR(C199="",E199=""),"",C199*E199)</f>
        <v/>
      </c>
      <c r="G199" s="21" t="n"/>
    </row>
    <row r="200">
      <c r="A200" s="26" t="n"/>
      <c r="B200" s="21" t="n"/>
      <c r="C200" s="22" t="n"/>
      <c r="D200" s="22" t="n"/>
      <c r="E200" s="22" t="n"/>
      <c r="F200" s="23">
        <f>IF(OR(C200="",E200=""),"",C200*E200)</f>
        <v/>
      </c>
      <c r="G200" s="21" t="n"/>
    </row>
    <row r="201">
      <c r="A201" s="26" t="n"/>
      <c r="B201" s="21" t="n"/>
      <c r="C201" s="22" t="n"/>
      <c r="D201" s="22" t="n"/>
      <c r="E201" s="22" t="n"/>
      <c r="F201" s="23">
        <f>IF(OR(C201="",E201=""),"",C201*E201)</f>
        <v/>
      </c>
      <c r="G201" s="21" t="n"/>
    </row>
    <row r="202">
      <c r="A202" s="26" t="n"/>
      <c r="B202" s="21" t="n"/>
      <c r="C202" s="22" t="n"/>
      <c r="D202" s="22" t="n"/>
      <c r="E202" s="22" t="n"/>
      <c r="F202" s="23">
        <f>IF(OR(C202="",E202=""),"",C202*E202)</f>
        <v/>
      </c>
      <c r="G202" s="21" t="n"/>
    </row>
    <row r="203">
      <c r="A203" s="26" t="n"/>
      <c r="B203" s="21" t="n"/>
      <c r="C203" s="22" t="n"/>
      <c r="D203" s="22" t="n"/>
      <c r="E203" s="22" t="n"/>
      <c r="F203" s="23">
        <f>IF(OR(C203="",E203=""),"",C203*E203)</f>
        <v/>
      </c>
      <c r="G203" s="21" t="n"/>
    </row>
    <row r="204">
      <c r="A204" s="26" t="n"/>
      <c r="B204" s="21" t="n"/>
      <c r="C204" s="22" t="n"/>
      <c r="D204" s="22" t="n"/>
      <c r="E204" s="22" t="n"/>
      <c r="F204" s="23">
        <f>IF(OR(C204="",E204=""),"",C204*E204)</f>
        <v/>
      </c>
      <c r="G204" s="21" t="n"/>
    </row>
    <row r="205">
      <c r="A205" s="26" t="n"/>
      <c r="B205" s="21" t="n"/>
      <c r="C205" s="22" t="n"/>
      <c r="D205" s="22" t="n"/>
      <c r="E205" s="22" t="n"/>
      <c r="F205" s="23">
        <f>IF(OR(C205="",E205=""),"",C205*E205)</f>
        <v/>
      </c>
      <c r="G205" s="21" t="n"/>
    </row>
    <row r="206">
      <c r="A206" s="26" t="n"/>
      <c r="B206" s="21" t="n"/>
      <c r="C206" s="22" t="n"/>
      <c r="D206" s="22" t="n"/>
      <c r="E206" s="22" t="n"/>
      <c r="F206" s="23">
        <f>IF(OR(C206="",E206=""),"",C206*E206)</f>
        <v/>
      </c>
      <c r="G206" s="21" t="n"/>
    </row>
    <row r="207">
      <c r="A207" s="26" t="n"/>
      <c r="B207" s="21" t="n"/>
      <c r="C207" s="22" t="n"/>
      <c r="D207" s="22" t="n"/>
      <c r="E207" s="22" t="n"/>
      <c r="F207" s="23">
        <f>IF(OR(C207="",E207=""),"",C207*E207)</f>
        <v/>
      </c>
      <c r="G207" s="21" t="n"/>
    </row>
    <row r="208">
      <c r="A208" s="26" t="n"/>
      <c r="B208" s="21" t="n"/>
      <c r="C208" s="22" t="n"/>
      <c r="D208" s="22" t="n"/>
      <c r="E208" s="22" t="n"/>
      <c r="F208" s="23">
        <f>IF(OR(C208="",E208=""),"",C208*E208)</f>
        <v/>
      </c>
      <c r="G208" s="21" t="n"/>
    </row>
    <row r="209">
      <c r="A209" s="26" t="n"/>
      <c r="B209" s="21" t="n"/>
      <c r="C209" s="22" t="n"/>
      <c r="D209" s="22" t="n"/>
      <c r="E209" s="22" t="n"/>
      <c r="F209" s="23">
        <f>IF(OR(C209="",E209=""),"",C209*E209)</f>
        <v/>
      </c>
      <c r="G209" s="21" t="n"/>
    </row>
    <row r="210">
      <c r="A210" s="26" t="n"/>
      <c r="B210" s="21" t="n"/>
      <c r="C210" s="22" t="n"/>
      <c r="D210" s="22" t="n"/>
      <c r="E210" s="22" t="n"/>
      <c r="F210" s="23">
        <f>IF(OR(C210="",E210=""),"",C210*E210)</f>
        <v/>
      </c>
      <c r="G210" s="21" t="n"/>
    </row>
    <row r="211">
      <c r="A211" s="26" t="n"/>
      <c r="B211" s="21" t="n"/>
      <c r="C211" s="22" t="n"/>
      <c r="D211" s="22" t="n"/>
      <c r="E211" s="22" t="n"/>
      <c r="F211" s="23">
        <f>IF(OR(C211="",E211=""),"",C211*E211)</f>
        <v/>
      </c>
      <c r="G211" s="21" t="n"/>
    </row>
    <row r="212">
      <c r="A212" s="26" t="n"/>
      <c r="B212" s="21" t="n"/>
      <c r="C212" s="22" t="n"/>
      <c r="D212" s="22" t="n"/>
      <c r="E212" s="22" t="n"/>
      <c r="F212" s="23">
        <f>IF(OR(C212="",E212=""),"",C212*E212)</f>
        <v/>
      </c>
      <c r="G212" s="21" t="n"/>
    </row>
    <row r="213">
      <c r="A213" s="26" t="n"/>
      <c r="B213" s="21" t="n"/>
      <c r="C213" s="22" t="n"/>
      <c r="D213" s="22" t="n"/>
      <c r="E213" s="22" t="n"/>
      <c r="F213" s="23">
        <f>IF(OR(C213="",E213=""),"",C213*E213)</f>
        <v/>
      </c>
      <c r="G213" s="21" t="n"/>
    </row>
    <row r="214">
      <c r="A214" s="26" t="n"/>
      <c r="B214" s="21" t="n"/>
      <c r="C214" s="22" t="n"/>
      <c r="D214" s="22" t="n"/>
      <c r="E214" s="22" t="n"/>
      <c r="F214" s="23">
        <f>IF(OR(C214="",E214=""),"",C214*E214)</f>
        <v/>
      </c>
      <c r="G214" s="21" t="n"/>
    </row>
    <row r="215">
      <c r="A215" s="26" t="n"/>
      <c r="B215" s="21" t="n"/>
      <c r="C215" s="22" t="n"/>
      <c r="D215" s="22" t="n"/>
      <c r="E215" s="22" t="n"/>
      <c r="F215" s="23">
        <f>IF(OR(C215="",E215=""),"",C215*E215)</f>
        <v/>
      </c>
      <c r="G215" s="21" t="n"/>
    </row>
    <row r="216">
      <c r="A216" s="26" t="n"/>
      <c r="B216" s="21" t="n"/>
      <c r="C216" s="22" t="n"/>
      <c r="D216" s="22" t="n"/>
      <c r="E216" s="22" t="n"/>
      <c r="F216" s="23">
        <f>IF(OR(C216="",E216=""),"",C216*E216)</f>
        <v/>
      </c>
      <c r="G216" s="21" t="n"/>
    </row>
    <row r="217">
      <c r="A217" s="26" t="n"/>
      <c r="B217" s="21" t="n"/>
      <c r="C217" s="22" t="n"/>
      <c r="D217" s="22" t="n"/>
      <c r="E217" s="22" t="n"/>
      <c r="F217" s="23">
        <f>IF(OR(C217="",E217=""),"",C217*E217)</f>
        <v/>
      </c>
      <c r="G217" s="21" t="n"/>
    </row>
    <row r="218">
      <c r="A218" s="26" t="n"/>
      <c r="B218" s="21" t="n"/>
      <c r="C218" s="22" t="n"/>
      <c r="D218" s="22" t="n"/>
      <c r="E218" s="22" t="n"/>
      <c r="F218" s="23">
        <f>IF(OR(C218="",E218=""),"",C218*E218)</f>
        <v/>
      </c>
      <c r="G218" s="21" t="n"/>
    </row>
    <row r="219">
      <c r="A219" s="26" t="n"/>
      <c r="B219" s="21" t="n"/>
      <c r="C219" s="22" t="n"/>
      <c r="D219" s="22" t="n"/>
      <c r="E219" s="22" t="n"/>
      <c r="F219" s="23">
        <f>IF(OR(C219="",E219=""),"",C219*E219)</f>
        <v/>
      </c>
      <c r="G219" s="21" t="n"/>
    </row>
    <row r="220">
      <c r="A220" s="26" t="n"/>
      <c r="B220" s="21" t="n"/>
      <c r="C220" s="22" t="n"/>
      <c r="D220" s="22" t="n"/>
      <c r="E220" s="22" t="n"/>
      <c r="F220" s="23">
        <f>IF(OR(C220="",E220=""),"",C220*E220)</f>
        <v/>
      </c>
      <c r="G220" s="21" t="n"/>
    </row>
    <row r="221">
      <c r="A221" s="26" t="n"/>
      <c r="B221" s="21" t="n"/>
      <c r="C221" s="22" t="n"/>
      <c r="D221" s="22" t="n"/>
      <c r="E221" s="22" t="n"/>
      <c r="F221" s="23">
        <f>IF(OR(C221="",E221=""),"",C221*E221)</f>
        <v/>
      </c>
      <c r="G221" s="21" t="n"/>
    </row>
    <row r="222">
      <c r="A222" s="26" t="n"/>
      <c r="B222" s="21" t="n"/>
      <c r="C222" s="22" t="n"/>
      <c r="D222" s="22" t="n"/>
      <c r="E222" s="22" t="n"/>
      <c r="F222" s="23">
        <f>IF(OR(C222="",E222=""),"",C222*E222)</f>
        <v/>
      </c>
      <c r="G222" s="21" t="n"/>
    </row>
    <row r="223">
      <c r="A223" s="26" t="n"/>
      <c r="B223" s="21" t="n"/>
      <c r="C223" s="22" t="n"/>
      <c r="D223" s="22" t="n"/>
      <c r="E223" s="22" t="n"/>
      <c r="F223" s="23">
        <f>IF(OR(C223="",E223=""),"",C223*E223)</f>
        <v/>
      </c>
      <c r="G223" s="21" t="n"/>
    </row>
    <row r="224">
      <c r="A224" s="26" t="n"/>
      <c r="B224" s="21" t="n"/>
      <c r="C224" s="22" t="n"/>
      <c r="D224" s="22" t="n"/>
      <c r="E224" s="22" t="n"/>
      <c r="F224" s="23">
        <f>IF(OR(C224="",E224=""),"",C224*E224)</f>
        <v/>
      </c>
      <c r="G224" s="21" t="n"/>
    </row>
    <row r="225">
      <c r="A225" s="26" t="n"/>
      <c r="B225" s="21" t="n"/>
      <c r="C225" s="22" t="n"/>
      <c r="D225" s="22" t="n"/>
      <c r="E225" s="22" t="n"/>
      <c r="F225" s="23">
        <f>IF(OR(C225="",E225=""),"",C225*E225)</f>
        <v/>
      </c>
      <c r="G225" s="21" t="n"/>
    </row>
    <row r="226">
      <c r="A226" s="26" t="n"/>
      <c r="B226" s="21" t="n"/>
      <c r="C226" s="22" t="n"/>
      <c r="D226" s="22" t="n"/>
      <c r="E226" s="22" t="n"/>
      <c r="F226" s="23">
        <f>IF(OR(C226="",E226=""),"",C226*E226)</f>
        <v/>
      </c>
      <c r="G226" s="21" t="n"/>
    </row>
    <row r="227">
      <c r="A227" s="26" t="n"/>
      <c r="B227" s="21" t="n"/>
      <c r="C227" s="22" t="n"/>
      <c r="D227" s="22" t="n"/>
      <c r="E227" s="22" t="n"/>
      <c r="F227" s="23">
        <f>IF(OR(C227="",E227=""),"",C227*E227)</f>
        <v/>
      </c>
      <c r="G227" s="21" t="n"/>
    </row>
    <row r="228">
      <c r="A228" s="26" t="n"/>
      <c r="B228" s="21" t="n"/>
      <c r="C228" s="22" t="n"/>
      <c r="D228" s="22" t="n"/>
      <c r="E228" s="22" t="n"/>
      <c r="F228" s="23">
        <f>IF(OR(C228="",E228=""),"",C228*E228)</f>
        <v/>
      </c>
      <c r="G228" s="21" t="n"/>
    </row>
    <row r="229">
      <c r="A229" s="26" t="n"/>
      <c r="B229" s="21" t="n"/>
      <c r="C229" s="22" t="n"/>
      <c r="D229" s="22" t="n"/>
      <c r="E229" s="22" t="n"/>
      <c r="F229" s="23">
        <f>IF(OR(C229="",E229=""),"",C229*E229)</f>
        <v/>
      </c>
      <c r="G229" s="21" t="n"/>
    </row>
    <row r="230">
      <c r="A230" s="26" t="n"/>
      <c r="B230" s="21" t="n"/>
      <c r="C230" s="22" t="n"/>
      <c r="D230" s="22" t="n"/>
      <c r="E230" s="22" t="n"/>
      <c r="F230" s="23">
        <f>IF(OR(C230="",E230=""),"",C230*E230)</f>
        <v/>
      </c>
      <c r="G230" s="21" t="n"/>
    </row>
    <row r="231">
      <c r="A231" s="26" t="n"/>
      <c r="B231" s="21" t="n"/>
      <c r="C231" s="22" t="n"/>
      <c r="D231" s="22" t="n"/>
      <c r="E231" s="22" t="n"/>
      <c r="F231" s="23">
        <f>IF(OR(C231="",E231=""),"",C231*E231)</f>
        <v/>
      </c>
      <c r="G231" s="21" t="n"/>
    </row>
    <row r="232">
      <c r="A232" s="26" t="n"/>
      <c r="B232" s="21" t="n"/>
      <c r="C232" s="22" t="n"/>
      <c r="D232" s="22" t="n"/>
      <c r="E232" s="22" t="n"/>
      <c r="F232" s="23">
        <f>IF(OR(C232="",E232=""),"",C232*E232)</f>
        <v/>
      </c>
      <c r="G232" s="21" t="n"/>
    </row>
    <row r="233">
      <c r="A233" s="26" t="n"/>
      <c r="B233" s="21" t="n"/>
      <c r="C233" s="22" t="n"/>
      <c r="D233" s="22" t="n"/>
      <c r="E233" s="22" t="n"/>
      <c r="F233" s="23">
        <f>IF(OR(C233="",E233=""),"",C233*E233)</f>
        <v/>
      </c>
      <c r="G233" s="21" t="n"/>
    </row>
    <row r="234">
      <c r="A234" s="26" t="n"/>
      <c r="B234" s="21" t="n"/>
      <c r="C234" s="22" t="n"/>
      <c r="D234" s="22" t="n"/>
      <c r="E234" s="22" t="n"/>
      <c r="F234" s="23">
        <f>IF(OR(C234="",E234=""),"",C234*E234)</f>
        <v/>
      </c>
      <c r="G234" s="21" t="n"/>
    </row>
    <row r="235">
      <c r="A235" s="26" t="n"/>
      <c r="B235" s="21" t="n"/>
      <c r="C235" s="22" t="n"/>
      <c r="D235" s="22" t="n"/>
      <c r="E235" s="22" t="n"/>
      <c r="F235" s="23">
        <f>IF(OR(C235="",E235=""),"",C235*E235)</f>
        <v/>
      </c>
      <c r="G235" s="21" t="n"/>
    </row>
    <row r="236">
      <c r="A236" s="26" t="n"/>
      <c r="B236" s="21" t="n"/>
      <c r="C236" s="22" t="n"/>
      <c r="D236" s="22" t="n"/>
      <c r="E236" s="22" t="n"/>
      <c r="F236" s="23">
        <f>IF(OR(C236="",E236=""),"",C236*E236)</f>
        <v/>
      </c>
      <c r="G236" s="21" t="n"/>
    </row>
    <row r="237">
      <c r="A237" s="26" t="n"/>
      <c r="B237" s="21" t="n"/>
      <c r="C237" s="22" t="n"/>
      <c r="D237" s="22" t="n"/>
      <c r="E237" s="22" t="n"/>
      <c r="F237" s="23">
        <f>IF(OR(C237="",E237=""),"",C237*E237)</f>
        <v/>
      </c>
      <c r="G237" s="21" t="n"/>
    </row>
    <row r="238">
      <c r="A238" s="26" t="n"/>
      <c r="B238" s="21" t="n"/>
      <c r="C238" s="22" t="n"/>
      <c r="D238" s="22" t="n"/>
      <c r="E238" s="22" t="n"/>
      <c r="F238" s="23">
        <f>IF(OR(C238="",E238=""),"",C238*E238)</f>
        <v/>
      </c>
      <c r="G238" s="21" t="n"/>
    </row>
    <row r="239">
      <c r="A239" s="26" t="n"/>
      <c r="B239" s="21" t="n"/>
      <c r="C239" s="22" t="n"/>
      <c r="D239" s="22" t="n"/>
      <c r="E239" s="22" t="n"/>
      <c r="F239" s="23">
        <f>IF(OR(C239="",E239=""),"",C239*E239)</f>
        <v/>
      </c>
      <c r="G239" s="21" t="n"/>
    </row>
    <row r="240">
      <c r="A240" s="26" t="n"/>
      <c r="B240" s="21" t="n"/>
      <c r="C240" s="22" t="n"/>
      <c r="D240" s="22" t="n"/>
      <c r="E240" s="22" t="n"/>
      <c r="F240" s="23">
        <f>IF(OR(C240="",E240=""),"",C240*E240)</f>
        <v/>
      </c>
      <c r="G240" s="21" t="n"/>
    </row>
    <row r="241">
      <c r="A241" s="26" t="n"/>
      <c r="B241" s="21" t="n"/>
      <c r="C241" s="22" t="n"/>
      <c r="D241" s="22" t="n"/>
      <c r="E241" s="22" t="n"/>
      <c r="F241" s="23">
        <f>IF(OR(C241="",E241=""),"",C241*E241)</f>
        <v/>
      </c>
      <c r="G241" s="21" t="n"/>
    </row>
    <row r="242">
      <c r="A242" s="26" t="n"/>
      <c r="B242" s="21" t="n"/>
      <c r="C242" s="22" t="n"/>
      <c r="D242" s="22" t="n"/>
      <c r="E242" s="22" t="n"/>
      <c r="F242" s="23">
        <f>IF(OR(C242="",E242=""),"",C242*E242)</f>
        <v/>
      </c>
      <c r="G242" s="21" t="n"/>
    </row>
    <row r="243">
      <c r="A243" s="26" t="n"/>
      <c r="B243" s="21" t="n"/>
      <c r="C243" s="22" t="n"/>
      <c r="D243" s="22" t="n"/>
      <c r="E243" s="22" t="n"/>
      <c r="F243" s="23">
        <f>IF(OR(C243="",E243=""),"",C243*E243)</f>
        <v/>
      </c>
      <c r="G243" s="21" t="n"/>
    </row>
    <row r="244">
      <c r="A244" s="26" t="n"/>
      <c r="B244" s="21" t="n"/>
      <c r="C244" s="22" t="n"/>
      <c r="D244" s="22" t="n"/>
      <c r="E244" s="22" t="n"/>
      <c r="F244" s="23">
        <f>IF(OR(C244="",E244=""),"",C244*E244)</f>
        <v/>
      </c>
      <c r="G244" s="21" t="n"/>
    </row>
    <row r="245">
      <c r="A245" s="26" t="n"/>
      <c r="B245" s="21" t="n"/>
      <c r="C245" s="22" t="n"/>
      <c r="D245" s="22" t="n"/>
      <c r="E245" s="22" t="n"/>
      <c r="F245" s="23">
        <f>IF(OR(C245="",E245=""),"",C245*E245)</f>
        <v/>
      </c>
      <c r="G245" s="21" t="n"/>
    </row>
    <row r="246">
      <c r="A246" s="26" t="n"/>
      <c r="B246" s="21" t="n"/>
      <c r="C246" s="22" t="n"/>
      <c r="D246" s="22" t="n"/>
      <c r="E246" s="22" t="n"/>
      <c r="F246" s="23">
        <f>IF(OR(C246="",E246=""),"",C246*E246)</f>
        <v/>
      </c>
      <c r="G246" s="21" t="n"/>
    </row>
    <row r="247">
      <c r="A247" s="26" t="n"/>
      <c r="B247" s="21" t="n"/>
      <c r="C247" s="22" t="n"/>
      <c r="D247" s="22" t="n"/>
      <c r="E247" s="22" t="n"/>
      <c r="F247" s="23">
        <f>IF(OR(C247="",E247=""),"",C247*E247)</f>
        <v/>
      </c>
      <c r="G247" s="21" t="n"/>
    </row>
    <row r="248">
      <c r="A248" s="26" t="n"/>
      <c r="B248" s="21" t="n"/>
      <c r="C248" s="22" t="n"/>
      <c r="D248" s="22" t="n"/>
      <c r="E248" s="22" t="n"/>
      <c r="F248" s="23">
        <f>IF(OR(C248="",E248=""),"",C248*E248)</f>
        <v/>
      </c>
      <c r="G248" s="21" t="n"/>
    </row>
    <row r="249">
      <c r="A249" s="26" t="n"/>
      <c r="B249" s="21" t="n"/>
      <c r="C249" s="22" t="n"/>
      <c r="D249" s="22" t="n"/>
      <c r="E249" s="22" t="n"/>
      <c r="F249" s="23">
        <f>IF(OR(C249="",E249=""),"",C249*E249)</f>
        <v/>
      </c>
      <c r="G249" s="21" t="n"/>
    </row>
    <row r="250">
      <c r="A250" s="26" t="n"/>
      <c r="B250" s="21" t="n"/>
      <c r="C250" s="22" t="n"/>
      <c r="D250" s="22" t="n"/>
      <c r="E250" s="22" t="n"/>
      <c r="F250" s="23">
        <f>IF(OR(C250="",E250=""),"",C250*E250)</f>
        <v/>
      </c>
      <c r="G250" s="21" t="n"/>
    </row>
    <row r="251">
      <c r="A251" s="26" t="n"/>
      <c r="B251" s="21" t="n"/>
      <c r="C251" s="22" t="n"/>
      <c r="D251" s="22" t="n"/>
      <c r="E251" s="22" t="n"/>
      <c r="F251" s="23">
        <f>IF(OR(C251="",E251=""),"",C251*E251)</f>
        <v/>
      </c>
      <c r="G251" s="21" t="n"/>
    </row>
    <row r="252">
      <c r="A252" s="26" t="n"/>
      <c r="B252" s="21" t="n"/>
      <c r="C252" s="22" t="n"/>
      <c r="D252" s="22" t="n"/>
      <c r="E252" s="22" t="n"/>
      <c r="F252" s="23">
        <f>IF(OR(C252="",E252=""),"",C252*E252)</f>
        <v/>
      </c>
      <c r="G252" s="21" t="n"/>
    </row>
    <row r="253">
      <c r="A253" s="26" t="n"/>
      <c r="B253" s="21" t="n"/>
      <c r="C253" s="22" t="n"/>
      <c r="D253" s="22" t="n"/>
      <c r="E253" s="22" t="n"/>
      <c r="F253" s="23">
        <f>IF(OR(C253="",E253=""),"",C253*E253)</f>
        <v/>
      </c>
      <c r="G253" s="21" t="n"/>
    </row>
    <row r="254">
      <c r="A254" s="26" t="n"/>
      <c r="B254" s="21" t="n"/>
      <c r="C254" s="22" t="n"/>
      <c r="D254" s="22" t="n"/>
      <c r="E254" s="22" t="n"/>
      <c r="F254" s="23">
        <f>IF(OR(C254="",E254=""),"",C254*E254)</f>
        <v/>
      </c>
      <c r="G254" s="21" t="n"/>
    </row>
    <row r="255">
      <c r="A255" s="26" t="n"/>
      <c r="B255" s="21" t="n"/>
      <c r="C255" s="22" t="n"/>
      <c r="D255" s="22" t="n"/>
      <c r="E255" s="22" t="n"/>
      <c r="F255" s="23">
        <f>IF(OR(C255="",E255=""),"",C255*E255)</f>
        <v/>
      </c>
      <c r="G255" s="21" t="n"/>
    </row>
    <row r="256">
      <c r="A256" s="26" t="n"/>
      <c r="B256" s="21" t="n"/>
      <c r="C256" s="22" t="n"/>
      <c r="D256" s="22" t="n"/>
      <c r="E256" s="22" t="n"/>
      <c r="F256" s="23">
        <f>IF(OR(C256="",E256=""),"",C256*E256)</f>
        <v/>
      </c>
      <c r="G256" s="21" t="n"/>
    </row>
    <row r="257">
      <c r="A257" s="26" t="n"/>
      <c r="B257" s="21" t="n"/>
      <c r="C257" s="22" t="n"/>
      <c r="D257" s="22" t="n"/>
      <c r="E257" s="22" t="n"/>
      <c r="F257" s="23">
        <f>IF(OR(C257="",E257=""),"",C257*E257)</f>
        <v/>
      </c>
      <c r="G257" s="21" t="n"/>
    </row>
    <row r="258">
      <c r="A258" s="26" t="n"/>
      <c r="B258" s="21" t="n"/>
      <c r="C258" s="22" t="n"/>
      <c r="D258" s="22" t="n"/>
      <c r="E258" s="22" t="n"/>
      <c r="F258" s="23">
        <f>IF(OR(C258="",E258=""),"",C258*E258)</f>
        <v/>
      </c>
      <c r="G258" s="21" t="n"/>
    </row>
    <row r="259">
      <c r="A259" s="26" t="n"/>
      <c r="B259" s="21" t="n"/>
      <c r="C259" s="22" t="n"/>
      <c r="D259" s="22" t="n"/>
      <c r="E259" s="22" t="n"/>
      <c r="F259" s="23">
        <f>IF(OR(C259="",E259=""),"",C259*E259)</f>
        <v/>
      </c>
      <c r="G259" s="21" t="n"/>
    </row>
    <row r="260">
      <c r="A260" s="26" t="n"/>
      <c r="B260" s="21" t="n"/>
      <c r="C260" s="22" t="n"/>
      <c r="D260" s="22" t="n"/>
      <c r="E260" s="22" t="n"/>
      <c r="F260" s="23">
        <f>IF(OR(C260="",E260=""),"",C260*E260)</f>
        <v/>
      </c>
      <c r="G260" s="21" t="n"/>
    </row>
    <row r="261">
      <c r="A261" s="26" t="n"/>
      <c r="B261" s="21" t="n"/>
      <c r="C261" s="22" t="n"/>
      <c r="D261" s="22" t="n"/>
      <c r="E261" s="22" t="n"/>
      <c r="F261" s="23">
        <f>IF(OR(C261="",E261=""),"",C261*E261)</f>
        <v/>
      </c>
      <c r="G261" s="21" t="n"/>
    </row>
    <row r="262">
      <c r="A262" s="26" t="n"/>
      <c r="B262" s="21" t="n"/>
      <c r="C262" s="22" t="n"/>
      <c r="D262" s="22" t="n"/>
      <c r="E262" s="22" t="n"/>
      <c r="F262" s="23">
        <f>IF(OR(C262="",E262=""),"",C262*E262)</f>
        <v/>
      </c>
      <c r="G262" s="21" t="n"/>
    </row>
    <row r="263">
      <c r="A263" s="26" t="n"/>
      <c r="B263" s="21" t="n"/>
      <c r="C263" s="22" t="n"/>
      <c r="D263" s="22" t="n"/>
      <c r="E263" s="22" t="n"/>
      <c r="F263" s="23">
        <f>IF(OR(C263="",E263=""),"",C263*E263)</f>
        <v/>
      </c>
      <c r="G263" s="21" t="n"/>
    </row>
    <row r="264">
      <c r="A264" s="26" t="n"/>
      <c r="B264" s="21" t="n"/>
      <c r="C264" s="22" t="n"/>
      <c r="D264" s="22" t="n"/>
      <c r="E264" s="22" t="n"/>
      <c r="F264" s="23">
        <f>IF(OR(C264="",E264=""),"",C264*E264)</f>
        <v/>
      </c>
      <c r="G264" s="21" t="n"/>
    </row>
    <row r="265">
      <c r="A265" s="26" t="n"/>
      <c r="B265" s="21" t="n"/>
      <c r="C265" s="22" t="n"/>
      <c r="D265" s="22" t="n"/>
      <c r="E265" s="22" t="n"/>
      <c r="F265" s="23">
        <f>IF(OR(C265="",E265=""),"",C265*E265)</f>
        <v/>
      </c>
      <c r="G265" s="21" t="n"/>
    </row>
    <row r="266">
      <c r="A266" s="26" t="n"/>
      <c r="B266" s="21" t="n"/>
      <c r="C266" s="22" t="n"/>
      <c r="D266" s="22" t="n"/>
      <c r="E266" s="22" t="n"/>
      <c r="F266" s="23">
        <f>IF(OR(C266="",E266=""),"",C266*E266)</f>
        <v/>
      </c>
      <c r="G266" s="21" t="n"/>
    </row>
    <row r="267">
      <c r="A267" s="26" t="n"/>
      <c r="B267" s="21" t="n"/>
      <c r="C267" s="22" t="n"/>
      <c r="D267" s="22" t="n"/>
      <c r="E267" s="22" t="n"/>
      <c r="F267" s="23">
        <f>IF(OR(C267="",E267=""),"",C267*E267)</f>
        <v/>
      </c>
      <c r="G267" s="21" t="n"/>
    </row>
    <row r="268">
      <c r="A268" s="26" t="n"/>
      <c r="B268" s="21" t="n"/>
      <c r="C268" s="22" t="n"/>
      <c r="D268" s="22" t="n"/>
      <c r="E268" s="22" t="n"/>
      <c r="F268" s="23">
        <f>IF(OR(C268="",E268=""),"",C268*E268)</f>
        <v/>
      </c>
      <c r="G268" s="21" t="n"/>
    </row>
    <row r="269">
      <c r="A269" s="26" t="n"/>
      <c r="B269" s="21" t="n"/>
      <c r="C269" s="22" t="n"/>
      <c r="D269" s="22" t="n"/>
      <c r="E269" s="22" t="n"/>
      <c r="F269" s="23">
        <f>IF(OR(C269="",E269=""),"",C269*E269)</f>
        <v/>
      </c>
      <c r="G269" s="21" t="n"/>
    </row>
    <row r="270">
      <c r="A270" s="26" t="n"/>
      <c r="B270" s="21" t="n"/>
      <c r="C270" s="22" t="n"/>
      <c r="D270" s="22" t="n"/>
      <c r="E270" s="22" t="n"/>
      <c r="F270" s="23">
        <f>IF(OR(C270="",E270=""),"",C270*E270)</f>
        <v/>
      </c>
      <c r="G270" s="21" t="n"/>
    </row>
    <row r="271">
      <c r="A271" s="26" t="n"/>
      <c r="B271" s="21" t="n"/>
      <c r="C271" s="22" t="n"/>
      <c r="D271" s="22" t="n"/>
      <c r="E271" s="22" t="n"/>
      <c r="F271" s="23">
        <f>IF(OR(C271="",E271=""),"",C271*E271)</f>
        <v/>
      </c>
      <c r="G271" s="21" t="n"/>
    </row>
    <row r="272">
      <c r="A272" s="26" t="n"/>
      <c r="B272" s="21" t="n"/>
      <c r="C272" s="22" t="n"/>
      <c r="D272" s="22" t="n"/>
      <c r="E272" s="22" t="n"/>
      <c r="F272" s="23">
        <f>IF(OR(C272="",E272=""),"",C272*E272)</f>
        <v/>
      </c>
      <c r="G272" s="21" t="n"/>
    </row>
    <row r="273">
      <c r="A273" s="26" t="n"/>
      <c r="B273" s="21" t="n"/>
      <c r="C273" s="22" t="n"/>
      <c r="D273" s="22" t="n"/>
      <c r="E273" s="22" t="n"/>
      <c r="F273" s="23">
        <f>IF(OR(C273="",E273=""),"",C273*E273)</f>
        <v/>
      </c>
      <c r="G273" s="21" t="n"/>
    </row>
    <row r="274">
      <c r="A274" s="26" t="n"/>
      <c r="B274" s="21" t="n"/>
      <c r="C274" s="22" t="n"/>
      <c r="D274" s="22" t="n"/>
      <c r="E274" s="22" t="n"/>
      <c r="F274" s="23">
        <f>IF(OR(C274="",E274=""),"",C274*E274)</f>
        <v/>
      </c>
      <c r="G274" s="21" t="n"/>
    </row>
    <row r="275">
      <c r="A275" s="26" t="n"/>
      <c r="B275" s="21" t="n"/>
      <c r="C275" s="22" t="n"/>
      <c r="D275" s="22" t="n"/>
      <c r="E275" s="22" t="n"/>
      <c r="F275" s="23">
        <f>IF(OR(C275="",E275=""),"",C275*E275)</f>
        <v/>
      </c>
      <c r="G275" s="21" t="n"/>
    </row>
    <row r="276">
      <c r="A276" s="26" t="n"/>
      <c r="B276" s="21" t="n"/>
      <c r="C276" s="22" t="n"/>
      <c r="D276" s="22" t="n"/>
      <c r="E276" s="22" t="n"/>
      <c r="F276" s="23">
        <f>IF(OR(C276="",E276=""),"",C276*E276)</f>
        <v/>
      </c>
      <c r="G276" s="21" t="n"/>
    </row>
    <row r="277">
      <c r="A277" s="26" t="n"/>
      <c r="B277" s="21" t="n"/>
      <c r="C277" s="22" t="n"/>
      <c r="D277" s="22" t="n"/>
      <c r="E277" s="22" t="n"/>
      <c r="F277" s="23">
        <f>IF(OR(C277="",E277=""),"",C277*E277)</f>
        <v/>
      </c>
      <c r="G277" s="21" t="n"/>
    </row>
    <row r="278">
      <c r="A278" s="26" t="n"/>
      <c r="B278" s="21" t="n"/>
      <c r="C278" s="22" t="n"/>
      <c r="D278" s="22" t="n"/>
      <c r="E278" s="22" t="n"/>
      <c r="F278" s="23">
        <f>IF(OR(C278="",E278=""),"",C278*E278)</f>
        <v/>
      </c>
      <c r="G278" s="21" t="n"/>
    </row>
    <row r="279">
      <c r="A279" s="26" t="n"/>
      <c r="B279" s="21" t="n"/>
      <c r="C279" s="22" t="n"/>
      <c r="D279" s="22" t="n"/>
      <c r="E279" s="22" t="n"/>
      <c r="F279" s="23">
        <f>IF(OR(C279="",E279=""),"",C279*E279)</f>
        <v/>
      </c>
      <c r="G279" s="21" t="n"/>
    </row>
    <row r="280">
      <c r="A280" s="26" t="n"/>
      <c r="B280" s="21" t="n"/>
      <c r="C280" s="22" t="n"/>
      <c r="D280" s="22" t="n"/>
      <c r="E280" s="22" t="n"/>
      <c r="F280" s="23">
        <f>IF(OR(C280="",E280=""),"",C280*E280)</f>
        <v/>
      </c>
      <c r="G280" s="21" t="n"/>
    </row>
    <row r="281">
      <c r="A281" s="26" t="n"/>
      <c r="B281" s="21" t="n"/>
      <c r="C281" s="22" t="n"/>
      <c r="D281" s="22" t="n"/>
      <c r="E281" s="22" t="n"/>
      <c r="F281" s="23">
        <f>IF(OR(C281="",E281=""),"",C281*E281)</f>
        <v/>
      </c>
      <c r="G281" s="21" t="n"/>
    </row>
    <row r="282">
      <c r="A282" s="26" t="n"/>
      <c r="B282" s="21" t="n"/>
      <c r="C282" s="22" t="n"/>
      <c r="D282" s="22" t="n"/>
      <c r="E282" s="22" t="n"/>
      <c r="F282" s="23">
        <f>IF(OR(C282="",E282=""),"",C282*E282)</f>
        <v/>
      </c>
      <c r="G282" s="21" t="n"/>
    </row>
    <row r="283">
      <c r="A283" s="26" t="n"/>
      <c r="B283" s="21" t="n"/>
      <c r="C283" s="22" t="n"/>
      <c r="D283" s="22" t="n"/>
      <c r="E283" s="22" t="n"/>
      <c r="F283" s="23">
        <f>IF(OR(C283="",E283=""),"",C283*E283)</f>
        <v/>
      </c>
      <c r="G283" s="21" t="n"/>
    </row>
    <row r="284">
      <c r="A284" s="26" t="n"/>
      <c r="B284" s="21" t="n"/>
      <c r="C284" s="22" t="n"/>
      <c r="D284" s="22" t="n"/>
      <c r="E284" s="22" t="n"/>
      <c r="F284" s="23">
        <f>IF(OR(C284="",E284=""),"",C284*E284)</f>
        <v/>
      </c>
      <c r="G284" s="21" t="n"/>
    </row>
    <row r="285">
      <c r="A285" s="26" t="n"/>
      <c r="B285" s="21" t="n"/>
      <c r="C285" s="22" t="n"/>
      <c r="D285" s="22" t="n"/>
      <c r="E285" s="22" t="n"/>
      <c r="F285" s="23">
        <f>IF(OR(C285="",E285=""),"",C285*E285)</f>
        <v/>
      </c>
      <c r="G285" s="21" t="n"/>
    </row>
    <row r="286">
      <c r="A286" s="26" t="n"/>
      <c r="B286" s="21" t="n"/>
      <c r="C286" s="22" t="n"/>
      <c r="D286" s="22" t="n"/>
      <c r="E286" s="22" t="n"/>
      <c r="F286" s="23">
        <f>IF(OR(C286="",E286=""),"",C286*E286)</f>
        <v/>
      </c>
      <c r="G286" s="21" t="n"/>
    </row>
    <row r="287">
      <c r="A287" s="26" t="n"/>
      <c r="B287" s="21" t="n"/>
      <c r="C287" s="22" t="n"/>
      <c r="D287" s="22" t="n"/>
      <c r="E287" s="22" t="n"/>
      <c r="F287" s="23">
        <f>IF(OR(C287="",E287=""),"",C287*E287)</f>
        <v/>
      </c>
      <c r="G287" s="21" t="n"/>
    </row>
    <row r="288">
      <c r="A288" s="26" t="n"/>
      <c r="B288" s="21" t="n"/>
      <c r="C288" s="22" t="n"/>
      <c r="D288" s="22" t="n"/>
      <c r="E288" s="22" t="n"/>
      <c r="F288" s="23">
        <f>IF(OR(C288="",E288=""),"",C288*E288)</f>
        <v/>
      </c>
      <c r="G288" s="21" t="n"/>
    </row>
    <row r="289">
      <c r="A289" s="26" t="n"/>
      <c r="B289" s="21" t="n"/>
      <c r="C289" s="22" t="n"/>
      <c r="D289" s="22" t="n"/>
      <c r="E289" s="22" t="n"/>
      <c r="F289" s="23">
        <f>IF(OR(C289="",E289=""),"",C289*E289)</f>
        <v/>
      </c>
      <c r="G289" s="21" t="n"/>
    </row>
    <row r="290">
      <c r="A290" s="26" t="n"/>
      <c r="B290" s="21" t="n"/>
      <c r="C290" s="22" t="n"/>
      <c r="D290" s="22" t="n"/>
      <c r="E290" s="22" t="n"/>
      <c r="F290" s="23">
        <f>IF(OR(C290="",E290=""),"",C290*E290)</f>
        <v/>
      </c>
      <c r="G290" s="21" t="n"/>
    </row>
    <row r="291">
      <c r="A291" s="26" t="n"/>
      <c r="B291" s="21" t="n"/>
      <c r="C291" s="22" t="n"/>
      <c r="D291" s="22" t="n"/>
      <c r="E291" s="22" t="n"/>
      <c r="F291" s="23">
        <f>IF(OR(C291="",E291=""),"",C291*E291)</f>
        <v/>
      </c>
      <c r="G291" s="21" t="n"/>
    </row>
    <row r="292">
      <c r="A292" s="26" t="n"/>
      <c r="B292" s="21" t="n"/>
      <c r="C292" s="22" t="n"/>
      <c r="D292" s="22" t="n"/>
      <c r="E292" s="22" t="n"/>
      <c r="F292" s="23">
        <f>IF(OR(C292="",E292=""),"",C292*E292)</f>
        <v/>
      </c>
      <c r="G292" s="21" t="n"/>
    </row>
    <row r="293">
      <c r="A293" s="26" t="n"/>
      <c r="B293" s="21" t="n"/>
      <c r="C293" s="22" t="n"/>
      <c r="D293" s="22" t="n"/>
      <c r="E293" s="22" t="n"/>
      <c r="F293" s="23">
        <f>IF(OR(C293="",E293=""),"",C293*E293)</f>
        <v/>
      </c>
      <c r="G293" s="21" t="n"/>
    </row>
    <row r="294">
      <c r="A294" s="26" t="n"/>
      <c r="B294" s="21" t="n"/>
      <c r="C294" s="22" t="n"/>
      <c r="D294" s="22" t="n"/>
      <c r="E294" s="22" t="n"/>
      <c r="F294" s="23">
        <f>IF(OR(C294="",E294=""),"",C294*E294)</f>
        <v/>
      </c>
      <c r="G294" s="21" t="n"/>
    </row>
    <row r="295">
      <c r="A295" s="26" t="n"/>
      <c r="B295" s="21" t="n"/>
      <c r="C295" s="22" t="n"/>
      <c r="D295" s="22" t="n"/>
      <c r="E295" s="22" t="n"/>
      <c r="F295" s="23">
        <f>IF(OR(C295="",E295=""),"",C295*E295)</f>
        <v/>
      </c>
      <c r="G295" s="21" t="n"/>
    </row>
    <row r="296">
      <c r="A296" s="26" t="n"/>
      <c r="B296" s="21" t="n"/>
      <c r="C296" s="22" t="n"/>
      <c r="D296" s="22" t="n"/>
      <c r="E296" s="22" t="n"/>
      <c r="F296" s="23">
        <f>IF(OR(C296="",E296=""),"",C296*E296)</f>
        <v/>
      </c>
      <c r="G296" s="21" t="n"/>
    </row>
    <row r="297">
      <c r="A297" s="26" t="n"/>
      <c r="B297" s="21" t="n"/>
      <c r="C297" s="22" t="n"/>
      <c r="D297" s="22" t="n"/>
      <c r="E297" s="22" t="n"/>
      <c r="F297" s="23">
        <f>IF(OR(C297="",E297=""),"",C297*E297)</f>
        <v/>
      </c>
      <c r="G297" s="21" t="n"/>
    </row>
    <row r="298">
      <c r="A298" s="26" t="n"/>
      <c r="B298" s="21" t="n"/>
      <c r="C298" s="22" t="n"/>
      <c r="D298" s="22" t="n"/>
      <c r="E298" s="22" t="n"/>
      <c r="F298" s="23">
        <f>IF(OR(C298="",E298=""),"",C298*E298)</f>
        <v/>
      </c>
      <c r="G298" s="21" t="n"/>
    </row>
    <row r="299">
      <c r="A299" s="26" t="n"/>
      <c r="B299" s="21" t="n"/>
      <c r="C299" s="22" t="n"/>
      <c r="D299" s="22" t="n"/>
      <c r="E299" s="22" t="n"/>
      <c r="F299" s="23">
        <f>IF(OR(C299="",E299=""),"",C299*E299)</f>
        <v/>
      </c>
      <c r="G299" s="21" t="n"/>
    </row>
    <row r="300">
      <c r="A300" s="26" t="n"/>
      <c r="B300" s="21" t="n"/>
      <c r="C300" s="22" t="n"/>
      <c r="D300" s="22" t="n"/>
      <c r="E300" s="22" t="n"/>
      <c r="F300" s="23">
        <f>IF(OR(C300="",E300=""),"",C300*E300)</f>
        <v/>
      </c>
      <c r="G300" s="21" t="n"/>
    </row>
    <row r="301">
      <c r="A301" s="26" t="n"/>
      <c r="B301" s="21" t="n"/>
      <c r="C301" s="22" t="n"/>
      <c r="D301" s="22" t="n"/>
      <c r="E301" s="22" t="n"/>
      <c r="F301" s="23">
        <f>IF(OR(C301="",E301=""),"",C301*E301)</f>
        <v/>
      </c>
      <c r="G301" s="21" t="n"/>
    </row>
    <row r="302">
      <c r="A302" s="26" t="n"/>
      <c r="B302" s="21" t="n"/>
      <c r="C302" s="22" t="n"/>
      <c r="D302" s="22" t="n"/>
      <c r="E302" s="22" t="n"/>
      <c r="F302" s="23">
        <f>IF(OR(C302="",E302=""),"",C302*E302)</f>
        <v/>
      </c>
      <c r="G302" s="21" t="n"/>
    </row>
    <row r="303">
      <c r="A303" s="26" t="n"/>
      <c r="B303" s="21" t="n"/>
      <c r="C303" s="22" t="n"/>
      <c r="D303" s="22" t="n"/>
      <c r="E303" s="22" t="n"/>
      <c r="F303" s="23">
        <f>IF(OR(C303="",E303=""),"",C303*E303)</f>
        <v/>
      </c>
      <c r="G303" s="21" t="n"/>
    </row>
    <row r="304">
      <c r="A304" s="26" t="n"/>
      <c r="B304" s="21" t="n"/>
      <c r="C304" s="22" t="n"/>
      <c r="D304" s="22" t="n"/>
      <c r="E304" s="22" t="n"/>
      <c r="F304" s="23">
        <f>IF(OR(C304="",E304=""),"",C304*E304)</f>
        <v/>
      </c>
      <c r="G304" s="21" t="n"/>
    </row>
  </sheetData>
  <mergeCells count="2">
    <mergeCell ref="A2:G2"/>
    <mergeCell ref="A1:G1"/>
  </mergeCells>
  <dataValidations count="1">
    <dataValidation sqref="B5:B304" showDropDown="0" showInputMessage="0" showErrorMessage="0" allowBlank="1" error="Pick a value from the list." promptTitle="Select" prompt="Choose from the dropdown." type="list">
      <formula1>=VehicleList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5F8F"/>
    <outlinePr summaryBelow="1" summaryRight="1"/>
    <pageSetUpPr/>
  </sheetPr>
  <dimension ref="A1:G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4" customWidth="1" min="4" max="4"/>
    <col width="14" customWidth="1" min="5" max="5"/>
    <col width="15" customWidth="1" min="6" max="6"/>
    <col width="18" customWidth="1" min="7" max="7"/>
  </cols>
  <sheetData>
    <row r="1" ht="34" customHeight="1">
      <c r="A1" s="1" t="inlineStr">
        <is>
          <t>Stock Register  -  Live Balances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Opening + Received - Consumed = Closing. 100% automatic from Setup, Production, Receipt &amp; Fuel.</t>
        </is>
      </c>
      <c r="B2" s="2" t="n"/>
      <c r="C2" s="2" t="n"/>
      <c r="D2" s="2" t="n"/>
      <c r="E2" s="2" t="n"/>
      <c r="F2" s="2" t="n"/>
      <c r="G2" s="2" t="n"/>
    </row>
    <row r="4" ht="30" customHeight="1">
      <c r="A4" s="17" t="inlineStr">
        <is>
          <t>Material</t>
        </is>
      </c>
      <c r="B4" s="17" t="inlineStr">
        <is>
          <t>Unit</t>
        </is>
      </c>
      <c r="C4" s="17" t="inlineStr">
        <is>
          <t>Opening Stock</t>
        </is>
      </c>
      <c r="D4" s="17" t="inlineStr">
        <is>
          <t>Received</t>
        </is>
      </c>
      <c r="E4" s="17" t="inlineStr">
        <is>
          <t>Consumed</t>
        </is>
      </c>
      <c r="F4" s="17" t="inlineStr">
        <is>
          <t>Closing Stock</t>
        </is>
      </c>
      <c r="G4" s="17" t="inlineStr">
        <is>
          <t>Value @ Rate (₹)</t>
        </is>
      </c>
    </row>
    <row r="5">
      <c r="A5" s="18" t="inlineStr">
        <is>
          <t>Cement</t>
        </is>
      </c>
      <c r="B5" s="18">
        <f>IFERROR(VLOOKUP(A5,'Setup - Materials'!$A$5:$D$304,2,0),"")</f>
        <v/>
      </c>
      <c r="C5" s="27">
        <f>IFERROR(VLOOKUP(A5,'Setup - Materials'!$A$5:$D$304,3,0),0)</f>
        <v/>
      </c>
      <c r="D5" s="27">
        <f>SUMIF('Material Receipt'!$B$5:$B$304,A5,'Material Receipt'!$C$5:$C$304)</f>
        <v/>
      </c>
      <c r="E5" s="27">
        <f>SUM('Batch Production'!$F$5:$F$304)</f>
        <v/>
      </c>
      <c r="F5" s="27">
        <f>C5+D5-E5</f>
        <v/>
      </c>
      <c r="G5" s="28">
        <f>IFERROR(F5*VLOOKUP(A5,'Setup - Materials'!$A$5:$D$304,4,0),"")</f>
        <v/>
      </c>
    </row>
    <row r="6">
      <c r="A6" s="18" t="inlineStr">
        <is>
          <t>Sand</t>
        </is>
      </c>
      <c r="B6" s="18">
        <f>IFERROR(VLOOKUP(A6,'Setup - Materials'!$A$5:$D$304,2,0),"")</f>
        <v/>
      </c>
      <c r="C6" s="27">
        <f>IFERROR(VLOOKUP(A6,'Setup - Materials'!$A$5:$D$304,3,0),0)</f>
        <v/>
      </c>
      <c r="D6" s="27">
        <f>SUMIF('Material Receipt'!$B$5:$B$304,A6,'Material Receipt'!$C$5:$C$304)</f>
        <v/>
      </c>
      <c r="E6" s="27">
        <f>SUM('Batch Production'!$G$5:$G$304)</f>
        <v/>
      </c>
      <c r="F6" s="27">
        <f>C6+D6-E6</f>
        <v/>
      </c>
      <c r="G6" s="28">
        <f>IFERROR(F6*VLOOKUP(A6,'Setup - Materials'!$A$5:$D$304,4,0),"")</f>
        <v/>
      </c>
    </row>
    <row r="7">
      <c r="A7" s="18" t="inlineStr">
        <is>
          <t>Aggregate 20mm</t>
        </is>
      </c>
      <c r="B7" s="18">
        <f>IFERROR(VLOOKUP(A7,'Setup - Materials'!$A$5:$D$304,2,0),"")</f>
        <v/>
      </c>
      <c r="C7" s="27">
        <f>IFERROR(VLOOKUP(A7,'Setup - Materials'!$A$5:$D$304,3,0),0)</f>
        <v/>
      </c>
      <c r="D7" s="27">
        <f>SUMIF('Material Receipt'!$B$5:$B$304,A7,'Material Receipt'!$C$5:$C$304)</f>
        <v/>
      </c>
      <c r="E7" s="27">
        <f>SUM('Batch Production'!$H$5:$H$304)</f>
        <v/>
      </c>
      <c r="F7" s="27">
        <f>C7+D7-E7</f>
        <v/>
      </c>
      <c r="G7" s="28">
        <f>IFERROR(F7*VLOOKUP(A7,'Setup - Materials'!$A$5:$D$304,4,0),"")</f>
        <v/>
      </c>
    </row>
    <row r="8">
      <c r="A8" s="18" t="inlineStr">
        <is>
          <t>Aggregate 10mm</t>
        </is>
      </c>
      <c r="B8" s="18">
        <f>IFERROR(VLOOKUP(A8,'Setup - Materials'!$A$5:$D$304,2,0),"")</f>
        <v/>
      </c>
      <c r="C8" s="27">
        <f>IFERROR(VLOOKUP(A8,'Setup - Materials'!$A$5:$D$304,3,0),0)</f>
        <v/>
      </c>
      <c r="D8" s="27">
        <f>SUMIF('Material Receipt'!$B$5:$B$304,A8,'Material Receipt'!$C$5:$C$304)</f>
        <v/>
      </c>
      <c r="E8" s="27">
        <f>SUM('Batch Production'!$I$5:$I$304)</f>
        <v/>
      </c>
      <c r="F8" s="27">
        <f>C8+D8-E8</f>
        <v/>
      </c>
      <c r="G8" s="28">
        <f>IFERROR(F8*VLOOKUP(A8,'Setup - Materials'!$A$5:$D$304,4,0),"")</f>
        <v/>
      </c>
    </row>
    <row r="9">
      <c r="A9" s="18" t="inlineStr">
        <is>
          <t>Admixture</t>
        </is>
      </c>
      <c r="B9" s="18">
        <f>IFERROR(VLOOKUP(A9,'Setup - Materials'!$A$5:$D$304,2,0),"")</f>
        <v/>
      </c>
      <c r="C9" s="27">
        <f>IFERROR(VLOOKUP(A9,'Setup - Materials'!$A$5:$D$304,3,0),0)</f>
        <v/>
      </c>
      <c r="D9" s="27">
        <f>SUMIF('Material Receipt'!$B$5:$B$304,A9,'Material Receipt'!$C$5:$C$304)</f>
        <v/>
      </c>
      <c r="E9" s="27">
        <f>SUM('Batch Production'!$K$5:$K$304)</f>
        <v/>
      </c>
      <c r="F9" s="27">
        <f>C9+D9-E9</f>
        <v/>
      </c>
      <c r="G9" s="28">
        <f>IFERROR(F9*VLOOKUP(A9,'Setup - Materials'!$A$5:$D$304,4,0),"")</f>
        <v/>
      </c>
    </row>
    <row r="10">
      <c r="A10" s="18" t="inlineStr">
        <is>
          <t>Diesel</t>
        </is>
      </c>
      <c r="B10" s="18">
        <f>IFERROR(VLOOKUP(A10,'Setup - Materials'!$A$5:$D$304,2,0),"")</f>
        <v/>
      </c>
      <c r="C10" s="27">
        <f>IFERROR(VLOOKUP(A10,'Setup - Materials'!$A$5:$D$304,3,0),0)</f>
        <v/>
      </c>
      <c r="D10" s="27">
        <f>SUMIF('Material Receipt'!$B$5:$B$304,A10,'Material Receipt'!$C$5:$C$304)</f>
        <v/>
      </c>
      <c r="E10" s="27">
        <f>SUM('Fuel Log'!$C$5:$C$304)</f>
        <v/>
      </c>
      <c r="F10" s="27">
        <f>C10+D10-E10</f>
        <v/>
      </c>
      <c r="G10" s="28">
        <f>IFERROR(F10*VLOOKUP(A10,'Setup - Materials'!$A$5:$D$304,4,0),"")</f>
        <v/>
      </c>
    </row>
    <row r="11">
      <c r="A11" s="29" t="inlineStr">
        <is>
          <t>TOTAL</t>
        </is>
      </c>
      <c r="B11" s="29" t="n"/>
      <c r="C11" s="29" t="n"/>
      <c r="D11" s="29" t="n"/>
      <c r="E11" s="29" t="n"/>
      <c r="F11" s="29" t="n"/>
      <c r="G11" s="30">
        <f>SUM(G5:G10)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Vehicle Status</t>
        </is>
      </c>
      <c r="B1" t="inlineStr">
        <is>
          <t>Dispatch Status</t>
        </is>
      </c>
    </row>
    <row r="2">
      <c r="A2" t="inlineStr">
        <is>
          <t>Active</t>
        </is>
      </c>
      <c r="B2" t="inlineStr">
        <is>
          <t>Scheduled</t>
        </is>
      </c>
    </row>
    <row r="3">
      <c r="A3" t="inlineStr">
        <is>
          <t>Maintenance</t>
        </is>
      </c>
      <c r="B3" t="inlineStr">
        <is>
          <t>Dispatched</t>
        </is>
      </c>
    </row>
    <row r="4">
      <c r="A4" t="inlineStr">
        <is>
          <t>Inactive</t>
        </is>
      </c>
      <c r="B4" t="inlineStr">
        <is>
          <t>Delivered</t>
        </is>
      </c>
    </row>
    <row r="5">
      <c r="B5" t="inlineStr">
        <is>
          <t>Cancelled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2026-06-23T20:02:40Z</dcterms:created>
  <dcterms:modified xsi:type="dcterms:W3CDTF">2026-06-23T20:02:41Z</dcterms:modified>
</cp:coreProperties>
</file>