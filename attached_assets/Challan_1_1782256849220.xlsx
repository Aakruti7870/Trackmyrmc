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414d3c04165b957/Desktop/"/>
    </mc:Choice>
  </mc:AlternateContent>
  <xr:revisionPtr revIDLastSave="0" documentId="8_{FDBC9FC7-C920-3048-A731-2CC7458B8BE8}" xr6:coauthVersionLast="47" xr6:coauthVersionMax="47" xr10:uidLastSave="{00000000-0000-0000-0000-000000000000}"/>
  <bookViews>
    <workbookView xWindow="-120" yWindow="-120" windowWidth="29040" windowHeight="15720" tabRatio="815" activeTab="1" xr2:uid="{00000000-000D-0000-FFFF-FFFF00000000}"/>
  </bookViews>
  <sheets>
    <sheet name="MASTER_INPUT" sheetId="4" r:id="rId1"/>
    <sheet name="DELIVERY_CHALLAN_FORMAT" sheetId="2" r:id="rId2"/>
    <sheet name="Sheet1" sheetId="11" r:id="rId3"/>
    <sheet name="BATCH_REPORT_FORMAT" sheetId="10" r:id="rId4"/>
    <sheet name="DAILY_REGISTER" sheetId="3" r:id="rId5"/>
  </sheets>
  <definedNames>
    <definedName name="_xlnm.Print_Area" localSheetId="1">DELIVERY_CHALLAN_FORMAT!$B$2:$G$36</definedName>
    <definedName name="SAVE___PRINT_NEXT">MASTER_INPUT!#REF!</definedName>
  </definedNames>
  <calcPr calcId="191028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8" i="2" l="1"/>
  <c r="D45" i="2"/>
  <c r="G16" i="2"/>
  <c r="G43" i="2"/>
  <c r="G8" i="2"/>
  <c r="G35" i="2"/>
  <c r="A3" i="4"/>
  <c r="G11" i="2"/>
  <c r="G38" i="2"/>
  <c r="G10" i="2"/>
  <c r="G37" i="2"/>
  <c r="G18" i="2"/>
  <c r="G45" i="2"/>
  <c r="D16" i="2"/>
  <c r="D43" i="2"/>
  <c r="D15" i="2"/>
  <c r="D42" i="2"/>
  <c r="D14" i="2"/>
  <c r="D41" i="2"/>
  <c r="D13" i="2"/>
  <c r="D40" i="2"/>
  <c r="D12" i="2"/>
  <c r="D39" i="2"/>
  <c r="D11" i="2"/>
  <c r="D38" i="2"/>
  <c r="D9" i="2"/>
  <c r="D36" i="2"/>
  <c r="D8" i="2"/>
  <c r="D35" i="2"/>
  <c r="G42" i="2"/>
  <c r="G41" i="2"/>
  <c r="G40" i="2"/>
  <c r="G39" i="2"/>
  <c r="C7" i="4"/>
  <c r="G9" i="2"/>
  <c r="G36" i="2"/>
  <c r="D10" i="2"/>
  <c r="D37" i="2"/>
</calcChain>
</file>

<file path=xl/sharedStrings.xml><?xml version="1.0" encoding="utf-8"?>
<sst xmlns="http://schemas.openxmlformats.org/spreadsheetml/2006/main" count="174" uniqueCount="90">
  <si>
    <t>Date</t>
  </si>
  <si>
    <t>Grade</t>
  </si>
  <si>
    <t>Driver Name</t>
  </si>
  <si>
    <t>AAKRUTI INFRA RMC PLANT</t>
  </si>
  <si>
    <t>Quantity</t>
  </si>
  <si>
    <t xml:space="preserve">Driver Mobile  </t>
  </si>
  <si>
    <t>Batch End Time</t>
  </si>
  <si>
    <t>Slump (mm)</t>
  </si>
  <si>
    <t>Batch Start Time</t>
  </si>
  <si>
    <t>TM No</t>
  </si>
  <si>
    <t>Admixture Type</t>
  </si>
  <si>
    <t xml:space="preserve">GST details </t>
  </si>
  <si>
    <t>Po Number/Date</t>
  </si>
  <si>
    <t>Cement Type/Brand</t>
  </si>
  <si>
    <t>Mobile</t>
  </si>
  <si>
    <t>Time In (Site)</t>
  </si>
  <si>
    <t>Mix Design/Batch No</t>
  </si>
  <si>
    <t>Contact Person</t>
  </si>
  <si>
    <t xml:space="preserve">Time Out (Plant) </t>
  </si>
  <si>
    <t>Grade of concrate</t>
  </si>
  <si>
    <t>Delivery Address</t>
  </si>
  <si>
    <t>Client Name</t>
  </si>
  <si>
    <t>Challan No.</t>
  </si>
  <si>
    <t>CONCRETE DETAILS</t>
  </si>
  <si>
    <t>CHALLAN DETAILS</t>
  </si>
  <si>
    <t>RMC DELIVERY CHALLAN</t>
  </si>
  <si>
    <t>Office Add : Shop No 45 , Silver Creast Akshar , Plot 29 , Sector 25 , Navi Mumbai 410 206</t>
  </si>
  <si>
    <t>Plant Add : Plot No. 77/2 , JNPT Road Behind Nilesh Dhaba, KaranjadeTal-Panvel Dist-Raigarh 410 206</t>
  </si>
  <si>
    <t>GST</t>
  </si>
  <si>
    <t>QTY</t>
  </si>
  <si>
    <t>DRIVER</t>
  </si>
  <si>
    <t>MOBILE</t>
  </si>
  <si>
    <t>BATCH END.</t>
  </si>
  <si>
    <t>CEMENT</t>
  </si>
  <si>
    <t>ADMIX</t>
  </si>
  <si>
    <t>SLUMP</t>
  </si>
  <si>
    <t>CUBE</t>
  </si>
  <si>
    <t>COUNT</t>
  </si>
  <si>
    <t>Ch No</t>
  </si>
  <si>
    <t>Batch No</t>
  </si>
  <si>
    <t>Start Time</t>
  </si>
  <si>
    <t>Location</t>
  </si>
  <si>
    <t>Site Contact</t>
  </si>
  <si>
    <t>TM No.</t>
  </si>
  <si>
    <t>PO No.</t>
  </si>
  <si>
    <t>YES</t>
  </si>
  <si>
    <t>OPC 53 Ultratech</t>
  </si>
  <si>
    <t>PEC</t>
  </si>
  <si>
    <t>180 MM</t>
  </si>
  <si>
    <t>Comulative Qty</t>
  </si>
  <si>
    <r>
      <t xml:space="preserve">CSTIN: </t>
    </r>
    <r>
      <rPr>
        <b/>
        <u/>
        <sz val="20"/>
        <color theme="1" tint="4.9989318521683403E-2"/>
        <rFont val="Century Schoolbook"/>
        <family val="1"/>
      </rPr>
      <t>27ACKFA9816C1ZC</t>
    </r>
    <r>
      <rPr>
        <b/>
        <sz val="20"/>
        <color theme="1" tint="4.9989318521683403E-2"/>
        <rFont val="Century Schoolbook"/>
        <family val="1"/>
      </rPr>
      <t xml:space="preserve">         PAN: </t>
    </r>
    <r>
      <rPr>
        <b/>
        <u/>
        <sz val="20"/>
        <color theme="1" tint="4.9989318521683403E-2"/>
        <rFont val="Century Schoolbook"/>
        <family val="1"/>
      </rPr>
      <t>ACKFA9816C</t>
    </r>
    <r>
      <rPr>
        <b/>
        <sz val="20"/>
        <color theme="1" tint="4.9989318521683403E-2"/>
        <rFont val="Century Schoolbook"/>
        <family val="1"/>
      </rPr>
      <t xml:space="preserve">     contact : 7498286760 / 9082189911    Mail : aakruti.infrarmc@gmail.com</t>
    </r>
  </si>
  <si>
    <t>•If the concrete unloaded after elapsed time of 2.30 hours from batching of concrete then, client will be fully responsible for  qty. in bill , and TM damage if  any .</t>
  </si>
  <si>
    <t>•Transit mixers must be released within a specified time, usually 1 hour. Retentions beyond this result in penalties, often around Rs 1200 per hour or part thereof.</t>
  </si>
  <si>
    <t>•Addition of water at the site to regain workability is prohibited or  must be done under strict technical supervision.</t>
  </si>
  <si>
    <t>•The supplier requires assurance of continuous pouring and may charge extra for small loads (e.g., less than 3–4 CuM.</t>
  </si>
  <si>
    <t xml:space="preserve"> Date                        </t>
  </si>
  <si>
    <t>:</t>
  </si>
  <si>
    <t xml:space="preserve">Challan No.        </t>
  </si>
  <si>
    <t xml:space="preserve">Client Name </t>
  </si>
  <si>
    <t xml:space="preserve">Delivery Address </t>
  </si>
  <si>
    <t xml:space="preserve">Contact Person </t>
  </si>
  <si>
    <t xml:space="preserve">TM No. </t>
  </si>
  <si>
    <t xml:space="preserve">Batch No </t>
  </si>
  <si>
    <t xml:space="preserve">GST details  </t>
  </si>
  <si>
    <t xml:space="preserve">Batch Start </t>
  </si>
  <si>
    <t xml:space="preserve">Batch End </t>
  </si>
  <si>
    <t xml:space="preserve">Cube Casting </t>
  </si>
  <si>
    <t xml:space="preserve">    Contact          </t>
  </si>
  <si>
    <t xml:space="preserve">Received by (Site) /Signature </t>
  </si>
  <si>
    <t>www.aakrutiinfrarmc.com   |        qccomplaint@aakrutiinfrarmc.com  | sales@aakrutiinfrarmc.com</t>
  </si>
  <si>
    <t xml:space="preserve">  For, Aakruti Infra RMC Plant </t>
  </si>
  <si>
    <t xml:space="preserve">      Comulative Qty</t>
  </si>
  <si>
    <t>Ordered Qty</t>
  </si>
  <si>
    <t>Unloading Start Time</t>
  </si>
  <si>
    <t xml:space="preserve">               Unloading End Time</t>
  </si>
  <si>
    <t>PREM</t>
  </si>
  <si>
    <t>MANOJ</t>
  </si>
  <si>
    <t>SUBHASH MAMA</t>
  </si>
  <si>
    <t>KALAM</t>
  </si>
  <si>
    <t xml:space="preserve">ROHOT </t>
  </si>
  <si>
    <t>`</t>
  </si>
  <si>
    <t xml:space="preserve">DS INFRA </t>
  </si>
  <si>
    <t xml:space="preserve">Khanda Colony </t>
  </si>
  <si>
    <t xml:space="preserve">Er. Akshay </t>
  </si>
  <si>
    <t>RMC M-20</t>
  </si>
  <si>
    <t>7.00 Cum</t>
  </si>
  <si>
    <t>07 CuM</t>
  </si>
  <si>
    <t xml:space="preserve">MH 46 DC 0813 </t>
  </si>
  <si>
    <t xml:space="preserve">PREM </t>
  </si>
  <si>
    <t>07.00 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</si>
</sst>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sz val="18"/>
      <color theme="1"/>
      <name val="Gill Sans MT"/>
      <family val="2"/>
    </font>
    <font>
      <b/>
      <sz val="16"/>
      <color theme="4" tint="-0.499984740745262"/>
      <name val="Aptos"/>
      <family val="2"/>
    </font>
    <font>
      <sz val="15"/>
      <color theme="1"/>
      <name val="Calibri"/>
      <family val="2"/>
      <scheme val="minor"/>
    </font>
    <font>
      <b/>
      <sz val="12"/>
      <color theme="1"/>
      <name val="Constantia"/>
      <family val="1"/>
    </font>
    <font>
      <sz val="14.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onstantia"/>
      <family val="1"/>
    </font>
    <font>
      <b/>
      <sz val="14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b/>
      <sz val="18"/>
      <color theme="1"/>
      <name val="Cambria"/>
      <family val="1"/>
      <scheme val="major"/>
    </font>
    <font>
      <b/>
      <sz val="18"/>
      <color theme="0"/>
      <name val="Cambria"/>
      <family val="1"/>
      <scheme val="major"/>
    </font>
    <font>
      <b/>
      <sz val="16"/>
      <color theme="0"/>
      <name val="Aptos"/>
      <family val="2"/>
    </font>
    <font>
      <sz val="16"/>
      <color theme="1" tint="4.9989318521683403E-2"/>
      <name val="Calibri"/>
      <family val="2"/>
      <scheme val="minor"/>
    </font>
    <font>
      <sz val="11"/>
      <color theme="1" tint="4.9989318521683403E-2"/>
      <name val="Aptos Display"/>
      <family val="2"/>
    </font>
    <font>
      <b/>
      <u/>
      <sz val="50"/>
      <color theme="1" tint="4.9989318521683403E-2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 tint="4.9989318521683403E-2"/>
      <name val="Baskerville Old Face"/>
      <family val="1"/>
    </font>
    <font>
      <sz val="24"/>
      <color theme="1" tint="4.9989318521683403E-2"/>
      <name val="Calibri"/>
      <family val="2"/>
      <scheme val="minor"/>
    </font>
    <font>
      <b/>
      <sz val="36"/>
      <color theme="1" tint="4.9989318521683403E-2"/>
      <name val="Bookman Old Style"/>
      <family val="1"/>
    </font>
    <font>
      <b/>
      <sz val="20"/>
      <color theme="1"/>
      <name val="Century Schoolbook"/>
      <family val="1"/>
    </font>
    <font>
      <b/>
      <sz val="20"/>
      <color theme="1" tint="4.9989318521683403E-2"/>
      <name val="Century Schoolbook"/>
      <family val="1"/>
    </font>
    <font>
      <b/>
      <u/>
      <sz val="20"/>
      <color theme="1" tint="4.9989318521683403E-2"/>
      <name val="Century Schoolbook"/>
      <family val="1"/>
    </font>
    <font>
      <b/>
      <sz val="28"/>
      <color theme="1" tint="4.9989318521683403E-2"/>
      <name val="Baskerville Old Face"/>
      <family val="1"/>
    </font>
    <font>
      <b/>
      <u/>
      <sz val="28"/>
      <color theme="1" tint="4.9989318521683403E-2"/>
      <name val="Baskerville Old Face"/>
      <family val="1"/>
    </font>
    <font>
      <b/>
      <sz val="26"/>
      <color theme="1" tint="4.9989318521683403E-2"/>
      <name val="Perpetua"/>
      <family val="1"/>
    </font>
    <font>
      <b/>
      <sz val="20"/>
      <color theme="1" tint="4.9989318521683403E-2"/>
      <name val="Perpetua"/>
      <family val="1"/>
    </font>
    <font>
      <sz val="20"/>
      <color theme="1" tint="4.9989318521683403E-2"/>
      <name val="Sabon Next LT"/>
    </font>
    <font>
      <b/>
      <sz val="25"/>
      <color theme="1" tint="4.9989318521683403E-2"/>
      <name val="Perpetua"/>
      <family val="1"/>
    </font>
    <font>
      <b/>
      <u/>
      <sz val="25"/>
      <color theme="1" tint="4.9989318521683403E-2"/>
      <name val="Perpetua"/>
      <family val="1"/>
    </font>
    <font>
      <sz val="25"/>
      <color theme="1" tint="4.9989318521683403E-2"/>
      <name val="Perpetua"/>
      <family val="1"/>
    </font>
    <font>
      <u/>
      <sz val="36"/>
      <color theme="1" tint="4.9989318521683403E-2"/>
      <name val="Engravers MT"/>
      <family val="1"/>
    </font>
    <font>
      <b/>
      <sz val="22"/>
      <color theme="1" tint="4.9989318521683403E-2"/>
      <name val="Perpetua"/>
      <family val="1"/>
    </font>
    <font>
      <b/>
      <sz val="24"/>
      <color theme="1" tint="4.9989318521683403E-2"/>
      <name val="Perpetua"/>
      <family val="1"/>
    </font>
    <font>
      <b/>
      <sz val="28"/>
      <color theme="1" tint="4.9989318521683403E-2"/>
      <name val="Perpetua"/>
      <family val="1"/>
    </font>
    <font>
      <sz val="22"/>
      <color theme="1"/>
      <name val="Gill Sans MT"/>
      <family val="2"/>
    </font>
    <font>
      <sz val="22"/>
      <color theme="1"/>
      <name val="Calibri"/>
      <family val="2"/>
      <scheme val="minor"/>
    </font>
    <font>
      <b/>
      <u/>
      <sz val="80"/>
      <color theme="1" tint="4.9989318521683403E-2"/>
      <name val="Times New Roman"/>
      <family val="1"/>
    </font>
    <font>
      <b/>
      <sz val="21"/>
      <color theme="1" tint="4.9989318521683403E-2"/>
      <name val="Perpetua"/>
      <family val="1"/>
    </font>
    <font>
      <b/>
      <sz val="16"/>
      <color theme="0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18"/>
      <name val="Cambria"/>
      <family val="1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mediumDashed">
        <color theme="1" tint="4.9989318521683403E-2"/>
      </bottom>
      <diagonal/>
    </border>
    <border>
      <left/>
      <right/>
      <top style="mediumDashed">
        <color theme="1" tint="4.9989318521683403E-2"/>
      </top>
      <bottom/>
      <diagonal/>
    </border>
    <border>
      <left/>
      <right/>
      <top/>
      <bottom style="thin">
        <color theme="0" tint="-0.14999847407452621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/>
      <diagonal/>
    </border>
    <border>
      <left/>
      <right/>
      <top style="medium">
        <color theme="1" tint="4.9989318521683403E-2"/>
      </top>
      <bottom/>
      <diagonal/>
    </border>
    <border>
      <left/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/>
      <top/>
      <bottom/>
      <diagonal/>
    </border>
    <border>
      <left/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medium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/>
      <top style="thin">
        <color theme="1" tint="4.9989318521683403E-2"/>
      </top>
      <bottom/>
      <diagonal/>
    </border>
    <border>
      <left/>
      <right style="medium">
        <color theme="1" tint="4.9989318521683403E-2"/>
      </right>
      <top style="thin">
        <color theme="1" tint="4.9989318521683403E-2"/>
      </top>
      <bottom/>
      <diagonal/>
    </border>
    <border>
      <left style="medium">
        <color theme="1" tint="4.9989318521683403E-2"/>
      </left>
      <right/>
      <top/>
      <bottom style="thin">
        <color theme="1" tint="4.9989318521683403E-2"/>
      </bottom>
      <diagonal/>
    </border>
    <border>
      <left/>
      <right style="medium">
        <color theme="1" tint="4.9989318521683403E-2"/>
      </right>
      <top/>
      <bottom style="thin">
        <color theme="1" tint="4.9989318521683403E-2"/>
      </bottom>
      <diagonal/>
    </border>
    <border>
      <left style="medium">
        <color theme="1" tint="4.9989318521683403E-2"/>
      </left>
      <right/>
      <top style="mediumDashed">
        <color theme="1" tint="4.9989318521683403E-2"/>
      </top>
      <bottom/>
      <diagonal/>
    </border>
    <border>
      <left/>
      <right style="medium">
        <color theme="1" tint="4.9989318521683403E-2"/>
      </right>
      <top style="mediumDashed">
        <color theme="1" tint="4.9989318521683403E-2"/>
      </top>
      <bottom/>
      <diagonal/>
    </border>
    <border>
      <left style="medium">
        <color theme="1" tint="4.9989318521683403E-2"/>
      </left>
      <right/>
      <top/>
      <bottom style="mediumDashed">
        <color theme="1" tint="4.9989318521683403E-2"/>
      </bottom>
      <diagonal/>
    </border>
    <border>
      <left/>
      <right style="medium">
        <color theme="1" tint="4.9989318521683403E-2"/>
      </right>
      <top/>
      <bottom style="mediumDashed">
        <color theme="1" tint="4.9989318521683403E-2"/>
      </bottom>
      <diagonal/>
    </border>
    <border>
      <left style="medium">
        <color theme="1" tint="4.9989318521683403E-2"/>
      </left>
      <right/>
      <top/>
      <bottom style="thin">
        <color theme="0" tint="-0.14999847407452621"/>
      </bottom>
      <diagonal/>
    </border>
    <border>
      <left style="medium">
        <color theme="1" tint="4.9989318521683403E-2"/>
      </left>
      <right/>
      <top style="thin">
        <color theme="0" tint="-0.14999847407452621"/>
      </top>
      <bottom style="medium">
        <color theme="1" tint="4.9989318521683403E-2"/>
      </bottom>
      <diagonal/>
    </border>
    <border>
      <left/>
      <right/>
      <top style="thin">
        <color theme="0" tint="-0.14999847407452621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thin">
        <color theme="0" tint="-0.14999847407452621"/>
      </top>
      <bottom style="medium">
        <color theme="1" tint="4.9989318521683403E-2"/>
      </bottom>
      <diagonal/>
    </border>
    <border>
      <left/>
      <right style="medium">
        <color theme="1" tint="0.14999847407452621"/>
      </right>
      <top style="medium">
        <color theme="1" tint="0.14999847407452621"/>
      </top>
      <bottom style="hair">
        <color theme="0" tint="-0.34998626667073579"/>
      </bottom>
      <diagonal/>
    </border>
    <border>
      <left/>
      <right style="medium">
        <color theme="1" tint="0.14999847407452621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medium">
        <color theme="1" tint="0.14999847407452621"/>
      </right>
      <top style="hair">
        <color theme="0" tint="-0.34998626667073579"/>
      </top>
      <bottom style="medium">
        <color theme="1" tint="0.14999847407452621"/>
      </bottom>
      <diagonal/>
    </border>
    <border>
      <left/>
      <right/>
      <top style="medium">
        <color theme="1" tint="0.14999847407452621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medium">
        <color theme="1" tint="0.14999847407452621"/>
      </bottom>
      <diagonal/>
    </border>
    <border>
      <left style="medium">
        <color theme="1" tint="0.14999847407452621"/>
      </left>
      <right/>
      <top style="medium">
        <color theme="1" tint="0.14999847407452621"/>
      </top>
      <bottom/>
      <diagonal/>
    </border>
    <border>
      <left/>
      <right/>
      <top style="medium">
        <color theme="1" tint="0.14999847407452621"/>
      </top>
      <bottom/>
      <diagonal/>
    </border>
    <border>
      <left style="medium">
        <color theme="1" tint="0.14999847407452621"/>
      </left>
      <right/>
      <top/>
      <bottom/>
      <diagonal/>
    </border>
    <border>
      <left style="medium">
        <color theme="1" tint="0.14999847407452621"/>
      </left>
      <right/>
      <top/>
      <bottom style="medium">
        <color theme="1" tint="0.14999847407452621"/>
      </bottom>
      <diagonal/>
    </border>
    <border>
      <left/>
      <right/>
      <top/>
      <bottom style="medium">
        <color theme="1" tint="0.14999847407452621"/>
      </bottom>
      <diagonal/>
    </border>
    <border>
      <left style="medium">
        <color theme="1" tint="4.9989318521683403E-2"/>
      </left>
      <right/>
      <top style="thin">
        <color theme="1" tint="4.9989318521683403E-2"/>
      </top>
      <bottom style="hair">
        <color theme="1" tint="0.249977111117893"/>
      </bottom>
      <diagonal/>
    </border>
    <border>
      <left/>
      <right/>
      <top style="thin">
        <color theme="1" tint="4.9989318521683403E-2"/>
      </top>
      <bottom style="hair">
        <color theme="1" tint="0.249977111117893"/>
      </bottom>
      <diagonal/>
    </border>
    <border>
      <left/>
      <right style="medium">
        <color theme="1" tint="4.9989318521683403E-2"/>
      </right>
      <top style="thin">
        <color theme="1" tint="4.9989318521683403E-2"/>
      </top>
      <bottom style="hair">
        <color theme="1" tint="0.249977111117893"/>
      </bottom>
      <diagonal/>
    </border>
    <border>
      <left style="medium">
        <color theme="1" tint="0.249977111117893"/>
      </left>
      <right/>
      <top style="medium">
        <color theme="1" tint="0.249977111117893"/>
      </top>
      <bottom/>
      <diagonal/>
    </border>
    <border>
      <left/>
      <right/>
      <top style="medium">
        <color theme="1" tint="0.249977111117893"/>
      </top>
      <bottom/>
      <diagonal/>
    </border>
    <border>
      <left/>
      <right/>
      <top style="medium">
        <color theme="1" tint="0.249977111117893"/>
      </top>
      <bottom style="hair">
        <color theme="0" tint="-0.34998626667073579"/>
      </bottom>
      <diagonal/>
    </border>
    <border>
      <left/>
      <right style="medium">
        <color theme="1" tint="0.249977111117893"/>
      </right>
      <top style="medium">
        <color theme="1" tint="0.249977111117893"/>
      </top>
      <bottom style="hair">
        <color theme="0" tint="-0.34998626667073579"/>
      </bottom>
      <diagonal/>
    </border>
    <border>
      <left style="medium">
        <color theme="1" tint="0.249977111117893"/>
      </left>
      <right/>
      <top/>
      <bottom/>
      <diagonal/>
    </border>
    <border>
      <left/>
      <right style="medium">
        <color theme="1" tint="0.249977111117893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theme="1" tint="0.249977111117893"/>
      </left>
      <right/>
      <top/>
      <bottom style="medium">
        <color theme="1" tint="0.249977111117893"/>
      </bottom>
      <diagonal/>
    </border>
    <border>
      <left/>
      <right/>
      <top/>
      <bottom style="medium">
        <color theme="1" tint="0.249977111117893"/>
      </bottom>
      <diagonal/>
    </border>
    <border>
      <left/>
      <right/>
      <top style="hair">
        <color theme="0" tint="-0.34998626667073579"/>
      </top>
      <bottom style="medium">
        <color theme="1" tint="0.249977111117893"/>
      </bottom>
      <diagonal/>
    </border>
    <border>
      <left/>
      <right style="medium">
        <color theme="1" tint="0.249977111117893"/>
      </right>
      <top style="hair">
        <color theme="0" tint="-0.34998626667073579"/>
      </top>
      <bottom style="medium">
        <color theme="1" tint="0.249977111117893"/>
      </bottom>
      <diagonal/>
    </border>
    <border>
      <left/>
      <right/>
      <top/>
      <bottom style="mediumDashDotDot">
        <color theme="1" tint="0.249977111117893"/>
      </bottom>
      <diagonal/>
    </border>
    <border>
      <left/>
      <right/>
      <top style="mediumDashDotDot">
        <color theme="1" tint="0.249977111117893"/>
      </top>
      <bottom style="medium">
        <color theme="1" tint="4.9989318521683403E-2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theme="0"/>
      </top>
      <bottom style="hair">
        <color indexed="64"/>
      </bottom>
      <diagonal/>
    </border>
    <border>
      <left/>
      <right style="hair">
        <color indexed="64"/>
      </right>
      <top style="dashed">
        <color indexed="64"/>
      </top>
      <bottom style="hair">
        <color indexed="64"/>
      </bottom>
      <diagonal/>
    </border>
    <border>
      <left style="dashed">
        <color indexed="64"/>
      </left>
      <right/>
      <top/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dashed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21" fontId="2" fillId="2" borderId="2" xfId="0" applyNumberFormat="1" applyFont="1" applyFill="1" applyBorder="1" applyAlignment="1">
      <alignment horizontal="left" vertical="center" indent="3"/>
    </xf>
    <xf numFmtId="0" fontId="0" fillId="0" borderId="0" xfId="0" applyProtection="1">
      <protection locked="0"/>
    </xf>
    <xf numFmtId="0" fontId="0" fillId="2" borderId="0" xfId="0" applyFill="1"/>
    <xf numFmtId="0" fontId="7" fillId="2" borderId="0" xfId="0" applyFont="1" applyFill="1" applyAlignment="1">
      <alignment horizontal="left" vertical="center" indent="1"/>
    </xf>
    <xf numFmtId="0" fontId="7" fillId="2" borderId="0" xfId="0" applyFont="1" applyFill="1" applyAlignment="1">
      <alignment vertical="top"/>
    </xf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 readingOrder="1"/>
    </xf>
    <xf numFmtId="0" fontId="10" fillId="2" borderId="5" xfId="0" applyFont="1" applyFill="1" applyBorder="1" applyAlignment="1">
      <alignment horizontal="left" vertical="center" indent="3"/>
    </xf>
    <xf numFmtId="14" fontId="11" fillId="5" borderId="6" xfId="0" applyNumberFormat="1" applyFont="1" applyFill="1" applyBorder="1" applyAlignment="1">
      <alignment horizontal="left" vertical="center"/>
    </xf>
    <xf numFmtId="0" fontId="10" fillId="0" borderId="0" xfId="0" applyFont="1"/>
    <xf numFmtId="0" fontId="11" fillId="5" borderId="6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 wrapText="1" indent="3"/>
    </xf>
    <xf numFmtId="0" fontId="11" fillId="5" borderId="6" xfId="0" applyFont="1" applyFill="1" applyBorder="1" applyAlignment="1">
      <alignment horizontal="left" vertical="center" wrapText="1"/>
    </xf>
    <xf numFmtId="0" fontId="10" fillId="0" borderId="5" xfId="0" applyFont="1" applyBorder="1"/>
    <xf numFmtId="0" fontId="11" fillId="5" borderId="6" xfId="0" applyFont="1" applyFill="1" applyBorder="1" applyAlignment="1">
      <alignment horizontal="left"/>
    </xf>
    <xf numFmtId="21" fontId="11" fillId="5" borderId="6" xfId="0" applyNumberFormat="1" applyFont="1" applyFill="1" applyBorder="1" applyAlignment="1">
      <alignment horizontal="left" vertical="center"/>
    </xf>
    <xf numFmtId="19" fontId="0" fillId="0" borderId="0" xfId="0" applyNumberFormat="1"/>
    <xf numFmtId="19" fontId="4" fillId="3" borderId="1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/>
    </xf>
    <xf numFmtId="21" fontId="12" fillId="6" borderId="4" xfId="0" applyNumberFormat="1" applyFont="1" applyFill="1" applyBorder="1" applyAlignment="1">
      <alignment horizontal="left" vertical="center" indent="3"/>
    </xf>
    <xf numFmtId="21" fontId="12" fillId="6" borderId="2" xfId="0" applyNumberFormat="1" applyFont="1" applyFill="1" applyBorder="1" applyAlignment="1">
      <alignment horizontal="left" vertical="center" wrapText="1" indent="3"/>
    </xf>
    <xf numFmtId="0" fontId="13" fillId="0" borderId="0" xfId="0" applyFont="1" applyAlignment="1">
      <alignment horizontal="left" vertical="center" indent="3"/>
    </xf>
    <xf numFmtId="0" fontId="14" fillId="0" borderId="0" xfId="0" applyFont="1"/>
    <xf numFmtId="0" fontId="16" fillId="0" borderId="0" xfId="0" applyFont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horizontal="left" vertical="center" indent="3"/>
    </xf>
    <xf numFmtId="0" fontId="19" fillId="0" borderId="0" xfId="0" applyFont="1"/>
    <xf numFmtId="0" fontId="23" fillId="0" borderId="0" xfId="0" applyFont="1" applyAlignment="1">
      <alignment vertical="top"/>
    </xf>
    <xf numFmtId="0" fontId="6" fillId="0" borderId="0" xfId="0" applyFont="1" applyAlignment="1">
      <alignment horizontal="center"/>
    </xf>
    <xf numFmtId="0" fontId="26" fillId="0" borderId="0" xfId="0" applyFont="1"/>
    <xf numFmtId="0" fontId="28" fillId="2" borderId="10" xfId="0" applyFont="1" applyFill="1" applyBorder="1"/>
    <xf numFmtId="0" fontId="28" fillId="2" borderId="10" xfId="0" applyFont="1" applyFill="1" applyBorder="1" applyAlignment="1">
      <alignment horizontal="left" indent="2"/>
    </xf>
    <xf numFmtId="0" fontId="28" fillId="2" borderId="10" xfId="0" applyFont="1" applyFill="1" applyBorder="1" applyAlignment="1">
      <alignment horizontal="left" wrapText="1" indent="3"/>
    </xf>
    <xf numFmtId="0" fontId="28" fillId="2" borderId="10" xfId="0" applyFont="1" applyFill="1" applyBorder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36" fillId="0" borderId="0" xfId="0" applyFont="1"/>
    <xf numFmtId="0" fontId="28" fillId="2" borderId="17" xfId="0" applyFont="1" applyFill="1" applyBorder="1" applyAlignment="1">
      <alignment horizontal="left" indent="1"/>
    </xf>
    <xf numFmtId="0" fontId="28" fillId="2" borderId="0" xfId="0" applyFont="1" applyFill="1" applyAlignment="1">
      <alignment horizontal="left"/>
    </xf>
    <xf numFmtId="14" fontId="29" fillId="2" borderId="0" xfId="0" applyNumberFormat="1" applyFont="1" applyFill="1" applyAlignment="1">
      <alignment horizontal="left" indent="2"/>
    </xf>
    <xf numFmtId="0" fontId="28" fillId="2" borderId="0" xfId="0" applyFont="1" applyFill="1" applyAlignment="1">
      <alignment horizontal="left" indent="3"/>
    </xf>
    <xf numFmtId="0" fontId="28" fillId="2" borderId="0" xfId="0" applyFont="1" applyFill="1" applyAlignment="1">
      <alignment horizontal="center"/>
    </xf>
    <xf numFmtId="21" fontId="30" fillId="2" borderId="18" xfId="0" applyNumberFormat="1" applyFont="1" applyFill="1" applyBorder="1" applyAlignment="1">
      <alignment horizontal="left" indent="2"/>
    </xf>
    <xf numFmtId="0" fontId="28" fillId="2" borderId="0" xfId="0" applyFont="1" applyFill="1"/>
    <xf numFmtId="0" fontId="28" fillId="2" borderId="0" xfId="0" applyFont="1" applyFill="1" applyAlignment="1">
      <alignment horizontal="left" wrapText="1" indent="3"/>
    </xf>
    <xf numFmtId="21" fontId="30" fillId="2" borderId="18" xfId="0" applyNumberFormat="1" applyFont="1" applyFill="1" applyBorder="1" applyAlignment="1">
      <alignment horizontal="left" wrapText="1" indent="2"/>
    </xf>
    <xf numFmtId="0" fontId="28" fillId="2" borderId="0" xfId="0" applyFont="1" applyFill="1" applyAlignment="1">
      <alignment horizontal="left" indent="2"/>
    </xf>
    <xf numFmtId="0" fontId="29" fillId="2" borderId="18" xfId="0" applyFont="1" applyFill="1" applyBorder="1" applyAlignment="1">
      <alignment horizontal="left" indent="2"/>
    </xf>
    <xf numFmtId="0" fontId="29" fillId="0" borderId="0" xfId="0" applyFont="1" applyAlignment="1">
      <alignment horizontal="left" indent="2"/>
    </xf>
    <xf numFmtId="0" fontId="30" fillId="2" borderId="18" xfId="0" applyFont="1" applyFill="1" applyBorder="1" applyAlignment="1">
      <alignment horizontal="left" indent="2"/>
    </xf>
    <xf numFmtId="21" fontId="29" fillId="2" borderId="0" xfId="0" applyNumberFormat="1" applyFont="1" applyFill="1" applyAlignment="1">
      <alignment horizontal="left" indent="2"/>
    </xf>
    <xf numFmtId="0" fontId="28" fillId="2" borderId="23" xfId="0" applyFont="1" applyFill="1" applyBorder="1" applyAlignment="1">
      <alignment horizontal="left" indent="1"/>
    </xf>
    <xf numFmtId="0" fontId="30" fillId="2" borderId="24" xfId="0" applyFont="1" applyFill="1" applyBorder="1" applyAlignment="1">
      <alignment horizontal="left" wrapText="1" indent="2"/>
    </xf>
    <xf numFmtId="0" fontId="26" fillId="0" borderId="25" xfId="0" applyFont="1" applyBorder="1"/>
    <xf numFmtId="0" fontId="26" fillId="0" borderId="26" xfId="0" applyFont="1" applyBorder="1"/>
    <xf numFmtId="0" fontId="30" fillId="2" borderId="18" xfId="0" applyFont="1" applyFill="1" applyBorder="1" applyAlignment="1">
      <alignment horizontal="left" wrapText="1" indent="2"/>
    </xf>
    <xf numFmtId="0" fontId="32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right" vertical="center"/>
    </xf>
    <xf numFmtId="0" fontId="25" fillId="2" borderId="33" xfId="0" applyFont="1" applyFill="1" applyBorder="1" applyAlignment="1">
      <alignment horizontal="left" vertical="center" indent="4"/>
    </xf>
    <xf numFmtId="0" fontId="25" fillId="2" borderId="34" xfId="0" applyFont="1" applyFill="1" applyBorder="1" applyAlignment="1">
      <alignment horizontal="left" vertical="center" indent="4"/>
    </xf>
    <xf numFmtId="0" fontId="25" fillId="2" borderId="36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/>
    </xf>
    <xf numFmtId="0" fontId="25" fillId="2" borderId="39" xfId="0" applyFont="1" applyFill="1" applyBorder="1" applyAlignment="1">
      <alignment horizontal="left" vertical="center" indent="12"/>
    </xf>
    <xf numFmtId="0" fontId="25" fillId="2" borderId="40" xfId="0" applyFont="1" applyFill="1" applyBorder="1" applyAlignment="1">
      <alignment horizontal="center" vertical="center"/>
    </xf>
    <xf numFmtId="0" fontId="25" fillId="2" borderId="40" xfId="0" applyFont="1" applyFill="1" applyBorder="1" applyAlignment="1">
      <alignment horizontal="left" vertical="center" indent="14"/>
    </xf>
    <xf numFmtId="0" fontId="38" fillId="2" borderId="41" xfId="0" applyFont="1" applyFill="1" applyBorder="1" applyAlignment="1">
      <alignment horizontal="right" vertical="center"/>
    </xf>
    <xf numFmtId="0" fontId="32" fillId="2" borderId="43" xfId="0" applyFont="1" applyFill="1" applyBorder="1" applyAlignment="1">
      <alignment horizontal="center" vertical="center"/>
    </xf>
    <xf numFmtId="0" fontId="34" fillId="2" borderId="43" xfId="0" applyFont="1" applyFill="1" applyBorder="1" applyAlignment="1">
      <alignment horizontal="center" vertical="center"/>
    </xf>
    <xf numFmtId="0" fontId="33" fillId="2" borderId="43" xfId="0" applyFont="1" applyFill="1" applyBorder="1" applyAlignment="1">
      <alignment horizontal="right" vertical="center" indent="2"/>
    </xf>
    <xf numFmtId="0" fontId="33" fillId="2" borderId="42" xfId="0" applyFont="1" applyFill="1" applyBorder="1" applyAlignment="1">
      <alignment horizontal="right" vertical="center"/>
    </xf>
    <xf numFmtId="0" fontId="25" fillId="2" borderId="38" xfId="0" applyFont="1" applyFill="1" applyBorder="1" applyAlignment="1">
      <alignment horizontal="center" vertical="center"/>
    </xf>
    <xf numFmtId="0" fontId="25" fillId="2" borderId="37" xfId="0" applyFont="1" applyFill="1" applyBorder="1" applyAlignment="1">
      <alignment horizontal="left" vertical="center" indent="5"/>
    </xf>
    <xf numFmtId="0" fontId="39" fillId="8" borderId="0" xfId="0" applyFont="1" applyFill="1"/>
    <xf numFmtId="0" fontId="39" fillId="8" borderId="3" xfId="0" applyFont="1" applyFill="1" applyBorder="1"/>
    <xf numFmtId="0" fontId="40" fillId="2" borderId="7" xfId="0" applyFont="1" applyFill="1" applyBorder="1" applyAlignment="1">
      <alignment vertical="center"/>
    </xf>
    <xf numFmtId="0" fontId="25" fillId="2" borderId="47" xfId="0" applyFont="1" applyFill="1" applyBorder="1" applyAlignment="1">
      <alignment horizontal="left" vertical="center" indent="12"/>
    </xf>
    <xf numFmtId="0" fontId="25" fillId="2" borderId="48" xfId="0" applyFont="1" applyFill="1" applyBorder="1" applyAlignment="1">
      <alignment horizontal="center" vertical="center"/>
    </xf>
    <xf numFmtId="0" fontId="25" fillId="2" borderId="49" xfId="0" applyFont="1" applyFill="1" applyBorder="1" applyAlignment="1">
      <alignment horizontal="left" vertical="center" indent="5"/>
    </xf>
    <xf numFmtId="0" fontId="25" fillId="2" borderId="48" xfId="0" applyFont="1" applyFill="1" applyBorder="1" applyAlignment="1">
      <alignment horizontal="left" vertical="center" indent="14"/>
    </xf>
    <xf numFmtId="0" fontId="25" fillId="2" borderId="50" xfId="0" applyFont="1" applyFill="1" applyBorder="1" applyAlignment="1">
      <alignment horizontal="left" vertical="center" indent="2"/>
    </xf>
    <xf numFmtId="0" fontId="38" fillId="2" borderId="51" xfId="0" applyFont="1" applyFill="1" applyBorder="1" applyAlignment="1">
      <alignment horizontal="right" vertical="center"/>
    </xf>
    <xf numFmtId="0" fontId="25" fillId="2" borderId="52" xfId="0" applyFont="1" applyFill="1" applyBorder="1" applyAlignment="1">
      <alignment horizontal="left" vertical="center" indent="2"/>
    </xf>
    <xf numFmtId="0" fontId="33" fillId="2" borderId="53" xfId="0" applyFont="1" applyFill="1" applyBorder="1" applyAlignment="1">
      <alignment horizontal="right" vertical="center"/>
    </xf>
    <xf numFmtId="0" fontId="32" fillId="2" borderId="54" xfId="0" applyFont="1" applyFill="1" applyBorder="1" applyAlignment="1">
      <alignment horizontal="center" vertical="center"/>
    </xf>
    <xf numFmtId="0" fontId="25" fillId="2" borderId="55" xfId="0" applyFont="1" applyFill="1" applyBorder="1" applyAlignment="1">
      <alignment horizontal="left" vertical="center" indent="5"/>
    </xf>
    <xf numFmtId="0" fontId="33" fillId="2" borderId="54" xfId="0" applyFont="1" applyFill="1" applyBorder="1" applyAlignment="1">
      <alignment horizontal="right" vertical="center" indent="2"/>
    </xf>
    <xf numFmtId="0" fontId="34" fillId="2" borderId="54" xfId="0" applyFont="1" applyFill="1" applyBorder="1" applyAlignment="1">
      <alignment horizontal="center" vertical="center"/>
    </xf>
    <xf numFmtId="0" fontId="25" fillId="2" borderId="56" xfId="0" applyFont="1" applyFill="1" applyBorder="1" applyAlignment="1">
      <alignment horizontal="left" vertical="center" indent="2"/>
    </xf>
    <xf numFmtId="0" fontId="25" fillId="2" borderId="35" xfId="0" applyFont="1" applyFill="1" applyBorder="1" applyAlignment="1">
      <alignment horizontal="left" vertical="center" indent="3"/>
    </xf>
    <xf numFmtId="0" fontId="1" fillId="2" borderId="0" xfId="0" applyFont="1" applyFill="1" applyAlignment="1">
      <alignment horizontal="center" vertical="top"/>
    </xf>
    <xf numFmtId="0" fontId="16" fillId="2" borderId="0" xfId="0" applyFont="1" applyFill="1"/>
    <xf numFmtId="0" fontId="1" fillId="2" borderId="57" xfId="0" applyFont="1" applyFill="1" applyBorder="1" applyAlignment="1">
      <alignment horizontal="center" vertical="top"/>
    </xf>
    <xf numFmtId="0" fontId="3" fillId="0" borderId="58" xfId="0" applyFont="1" applyBorder="1" applyAlignment="1">
      <alignment horizontal="left"/>
    </xf>
    <xf numFmtId="0" fontId="29" fillId="2" borderId="0" xfId="0" applyNumberFormat="1" applyFont="1" applyFill="1" applyAlignment="1">
      <alignment horizontal="left" indent="2"/>
    </xf>
    <xf numFmtId="0" fontId="0" fillId="2" borderId="59" xfId="0" applyFill="1" applyBorder="1"/>
    <xf numFmtId="0" fontId="10" fillId="0" borderId="61" xfId="0" applyFont="1" applyBorder="1"/>
    <xf numFmtId="0" fontId="11" fillId="5" borderId="60" xfId="0" applyFont="1" applyFill="1" applyBorder="1"/>
    <xf numFmtId="0" fontId="0" fillId="0" borderId="62" xfId="0" applyBorder="1"/>
    <xf numFmtId="0" fontId="10" fillId="2" borderId="63" xfId="0" applyFont="1" applyFill="1" applyBorder="1" applyAlignment="1">
      <alignment horizontal="left" vertical="center" wrapText="1" indent="3"/>
    </xf>
    <xf numFmtId="0" fontId="10" fillId="0" borderId="7" xfId="0" applyFont="1" applyBorder="1"/>
    <xf numFmtId="0" fontId="11" fillId="5" borderId="64" xfId="0" applyFont="1" applyFill="1" applyBorder="1" applyAlignment="1">
      <alignment horizontal="left"/>
    </xf>
    <xf numFmtId="0" fontId="10" fillId="0" borderId="0" xfId="0" applyFont="1" applyBorder="1"/>
    <xf numFmtId="0" fontId="10" fillId="0" borderId="65" xfId="0" applyFont="1" applyBorder="1"/>
    <xf numFmtId="0" fontId="11" fillId="5" borderId="66" xfId="0" applyFont="1" applyFill="1" applyBorder="1" applyAlignment="1">
      <alignment horizontal="left" vertical="center"/>
    </xf>
    <xf numFmtId="0" fontId="10" fillId="2" borderId="67" xfId="0" applyFont="1" applyFill="1" applyBorder="1" applyAlignment="1">
      <alignment horizontal="left" vertical="center" indent="3"/>
    </xf>
    <xf numFmtId="0" fontId="11" fillId="5" borderId="68" xfId="0" applyFont="1" applyFill="1" applyBorder="1" applyAlignment="1">
      <alignment horizontal="left" vertical="center"/>
    </xf>
    <xf numFmtId="0" fontId="41" fillId="0" borderId="65" xfId="0" applyFont="1" applyBorder="1"/>
    <xf numFmtId="0" fontId="10" fillId="0" borderId="69" xfId="0" applyFont="1" applyBorder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27" fillId="2" borderId="27" xfId="0" applyFont="1" applyFill="1" applyBorder="1" applyAlignment="1">
      <alignment horizontal="left" vertical="center"/>
    </xf>
    <xf numFmtId="0" fontId="27" fillId="2" borderId="11" xfId="0" applyFont="1" applyFill="1" applyBorder="1" applyAlignment="1">
      <alignment horizontal="left" vertical="center"/>
    </xf>
    <xf numFmtId="0" fontId="27" fillId="2" borderId="28" xfId="0" applyFont="1" applyFill="1" applyBorder="1" applyAlignment="1">
      <alignment horizontal="left" vertical="center"/>
    </xf>
    <xf numFmtId="0" fontId="35" fillId="2" borderId="29" xfId="0" applyFont="1" applyFill="1" applyBorder="1" applyAlignment="1">
      <alignment horizontal="left" indent="3"/>
    </xf>
    <xf numFmtId="0" fontId="35" fillId="2" borderId="13" xfId="0" applyFont="1" applyFill="1" applyBorder="1" applyAlignment="1">
      <alignment horizontal="left" indent="3"/>
    </xf>
    <xf numFmtId="0" fontId="35" fillId="2" borderId="0" xfId="0" applyFont="1" applyFill="1" applyAlignment="1">
      <alignment horizontal="right" indent="4"/>
    </xf>
    <xf numFmtId="0" fontId="35" fillId="2" borderId="18" xfId="0" applyFont="1" applyFill="1" applyBorder="1" applyAlignment="1">
      <alignment horizontal="right" indent="4"/>
    </xf>
    <xf numFmtId="0" fontId="1" fillId="7" borderId="30" xfId="0" applyFont="1" applyFill="1" applyBorder="1" applyAlignment="1">
      <alignment horizontal="center" vertical="top"/>
    </xf>
    <xf numFmtId="0" fontId="1" fillId="7" borderId="31" xfId="0" applyFont="1" applyFill="1" applyBorder="1" applyAlignment="1">
      <alignment horizontal="center" vertical="top"/>
    </xf>
    <xf numFmtId="0" fontId="1" fillId="7" borderId="32" xfId="0" applyFont="1" applyFill="1" applyBorder="1" applyAlignment="1">
      <alignment horizontal="center" vertical="top"/>
    </xf>
    <xf numFmtId="0" fontId="24" fillId="2" borderId="21" xfId="0" applyFont="1" applyFill="1" applyBorder="1" applyAlignment="1">
      <alignment horizontal="center" vertical="top"/>
    </xf>
    <xf numFmtId="0" fontId="24" fillId="2" borderId="9" xfId="0" applyFont="1" applyFill="1" applyBorder="1" applyAlignment="1">
      <alignment horizontal="center" vertical="top"/>
    </xf>
    <xf numFmtId="0" fontId="24" fillId="2" borderId="22" xfId="0" applyFont="1" applyFill="1" applyBorder="1" applyAlignment="1">
      <alignment horizontal="center" vertical="top"/>
    </xf>
    <xf numFmtId="0" fontId="37" fillId="2" borderId="14" xfId="0" applyFont="1" applyFill="1" applyBorder="1" applyAlignment="1">
      <alignment horizontal="center" vertical="center"/>
    </xf>
    <xf numFmtId="0" fontId="37" fillId="2" borderId="15" xfId="0" applyFont="1" applyFill="1" applyBorder="1" applyAlignment="1">
      <alignment horizontal="center" vertical="center"/>
    </xf>
    <xf numFmtId="0" fontId="37" fillId="2" borderId="16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1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2" borderId="18" xfId="0" applyFont="1" applyFill="1" applyBorder="1" applyAlignment="1">
      <alignment horizontal="center" vertical="center"/>
    </xf>
    <xf numFmtId="0" fontId="31" fillId="2" borderId="19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horizontal="center" vertical="center"/>
    </xf>
    <xf numFmtId="0" fontId="31" fillId="2" borderId="20" xfId="0" applyFont="1" applyFill="1" applyBorder="1" applyAlignment="1">
      <alignment horizontal="center" vertical="center"/>
    </xf>
    <xf numFmtId="0" fontId="24" fillId="2" borderId="44" xfId="0" applyFont="1" applyFill="1" applyBorder="1" applyAlignment="1">
      <alignment horizontal="center" vertical="top"/>
    </xf>
    <xf numFmtId="0" fontId="24" fillId="2" borderId="45" xfId="0" applyFont="1" applyFill="1" applyBorder="1" applyAlignment="1">
      <alignment horizontal="center" vertical="top"/>
    </xf>
    <xf numFmtId="0" fontId="24" fillId="2" borderId="46" xfId="0" applyFont="1" applyFill="1" applyBorder="1" applyAlignment="1">
      <alignment horizontal="center" vertical="top"/>
    </xf>
    <xf numFmtId="0" fontId="27" fillId="2" borderId="17" xfId="0" applyFont="1" applyFill="1" applyBorder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7" fillId="2" borderId="18" xfId="0" applyFont="1" applyFill="1" applyBorder="1" applyAlignment="1">
      <alignment horizontal="left" vertical="center"/>
    </xf>
    <xf numFmtId="0" fontId="27" fillId="2" borderId="17" xfId="0" applyFont="1" applyFill="1" applyBorder="1" applyAlignment="1">
      <alignment horizontal="left" vertical="center" wrapText="1"/>
    </xf>
    <xf numFmtId="0" fontId="27" fillId="2" borderId="0" xfId="0" applyFont="1" applyFill="1" applyAlignment="1">
      <alignment horizontal="left" vertical="center" wrapText="1"/>
    </xf>
    <xf numFmtId="0" fontId="27" fillId="2" borderId="25" xfId="0" applyFont="1" applyFill="1" applyBorder="1" applyAlignment="1">
      <alignment horizontal="left" vertical="center"/>
    </xf>
    <xf numFmtId="0" fontId="27" fillId="2" borderId="12" xfId="0" applyFont="1" applyFill="1" applyBorder="1" applyAlignment="1">
      <alignment horizontal="left" vertical="center"/>
    </xf>
    <xf numFmtId="0" fontId="27" fillId="2" borderId="2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B19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ctrlProps/ctrlProp1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209550</xdr:colOff>
          <xdr:row>21</xdr:row>
          <xdr:rowOff>38100</xdr:rowOff>
        </xdr:from>
        <xdr:to>
          <xdr:col>1</xdr:col>
          <xdr:colOff>1847850</xdr:colOff>
          <xdr:row>23</xdr:row>
          <xdr:rowOff>200025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0000" mc:Ignorable="a14" a14:legacySpreadsheetColorIndex="67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SAVE AND PRINT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2119</xdr:colOff>
      <xdr:row>1</xdr:row>
      <xdr:rowOff>127000</xdr:rowOff>
    </xdr:from>
    <xdr:to>
      <xdr:col>3</xdr:col>
      <xdr:colOff>0</xdr:colOff>
      <xdr:row>4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311E05-2E00-85C7-9080-3676D647F8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6" t="14444" r="10304" b="24497"/>
        <a:stretch>
          <a:fillRect/>
        </a:stretch>
      </xdr:blipFill>
      <xdr:spPr>
        <a:xfrm>
          <a:off x="2119" y="127000"/>
          <a:ext cx="2680756" cy="2174875"/>
        </a:xfrm>
        <a:prstGeom prst="rect">
          <a:avLst/>
        </a:prstGeom>
      </xdr:spPr>
    </xdr:pic>
    <xdr:clientData/>
  </xdr:twoCellAnchor>
  <xdr:oneCellAnchor>
    <xdr:from>
      <xdr:col>1</xdr:col>
      <xdr:colOff>2119</xdr:colOff>
      <xdr:row>28</xdr:row>
      <xdr:rowOff>127000</xdr:rowOff>
    </xdr:from>
    <xdr:ext cx="2680756" cy="2174875"/>
    <xdr:pic>
      <xdr:nvPicPr>
        <xdr:cNvPr id="7" name="Picture 6">
          <a:extLst>
            <a:ext uri="{FF2B5EF4-FFF2-40B4-BE49-F238E27FC236}">
              <a16:creationId xmlns:a16="http://schemas.microsoft.com/office/drawing/2014/main" id="{3A2D51B9-5F57-481C-A912-DE69C6E84C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6" t="14444" r="10304" b="24497"/>
        <a:stretch>
          <a:fillRect/>
        </a:stretch>
      </xdr:blipFill>
      <xdr:spPr>
        <a:xfrm>
          <a:off x="2119" y="127000"/>
          <a:ext cx="2680756" cy="2174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4" Type="http://schemas.openxmlformats.org/officeDocument/2006/relationships/ctrlProp" Target="../ctrlProps/ctrlProp1.x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8BD2-1CA0-428C-8C2F-388C3C98F6F3}">
  <sheetPr published="0" codeName="Sheet1"/>
  <dimension ref="A1:G29"/>
  <sheetViews>
    <sheetView zoomScaleNormal="100" workbookViewId="0">
      <selection activeCell="A3" sqref="A3:A9"/>
    </sheetView>
  </sheetViews>
  <sheetFormatPr defaultRowHeight="15" x14ac:dyDescent="0.2"/>
  <cols>
    <col min="1" max="1" width="38.47265625" customWidth="1"/>
    <col min="2" max="2" width="44.12109375" customWidth="1"/>
    <col min="3" max="3" width="31.87890625" customWidth="1"/>
    <col min="4" max="4" width="37.80078125" customWidth="1"/>
    <col min="5" max="5" width="14.52734375" customWidth="1"/>
    <col min="6" max="6" width="56.6328125" customWidth="1"/>
    <col min="7" max="8" width="29.32421875" customWidth="1"/>
  </cols>
  <sheetData>
    <row r="1" spans="1:7" x14ac:dyDescent="0.2">
      <c r="A1" s="21"/>
    </row>
    <row r="2" spans="1:7" ht="21" x14ac:dyDescent="0.3">
      <c r="A2" s="80">
        <v>1010</v>
      </c>
      <c r="B2" s="23" t="s">
        <v>22</v>
      </c>
    </row>
    <row r="3" spans="1:7" ht="21" x14ac:dyDescent="0.3">
      <c r="A3" s="79">
        <f>A2+34</f>
        <v>1044</v>
      </c>
      <c r="B3" s="81" t="s">
        <v>16</v>
      </c>
    </row>
    <row r="5" spans="1:7" x14ac:dyDescent="0.2">
      <c r="C5" s="5"/>
    </row>
    <row r="6" spans="1:7" ht="22.5" x14ac:dyDescent="0.2">
      <c r="C6" s="24">
        <v>0.53843750000000001</v>
      </c>
      <c r="D6" s="12" t="s">
        <v>8</v>
      </c>
      <c r="E6" s="104"/>
    </row>
    <row r="7" spans="1:7" ht="21.75" customHeight="1" x14ac:dyDescent="0.2">
      <c r="C7" s="25">
        <f>C6+TIME(0,7,10)</f>
        <v>0.54341435185185183</v>
      </c>
      <c r="D7" s="105" t="s">
        <v>6</v>
      </c>
    </row>
    <row r="9" spans="1:7" s="14" customFormat="1" ht="23.1" customHeight="1" x14ac:dyDescent="0.25">
      <c r="A9" s="12" t="s">
        <v>0</v>
      </c>
      <c r="B9" s="13">
        <v>46111</v>
      </c>
      <c r="C9" s="12" t="s">
        <v>9</v>
      </c>
      <c r="D9" s="15" t="s">
        <v>87</v>
      </c>
      <c r="F9" s="14">
        <v>9321381490</v>
      </c>
      <c r="G9" s="14" t="s">
        <v>75</v>
      </c>
    </row>
    <row r="10" spans="1:7" s="14" customFormat="1" ht="23.1" customHeight="1" x14ac:dyDescent="0.25">
      <c r="A10" s="12" t="s">
        <v>18</v>
      </c>
      <c r="B10" s="4">
        <v>0.47917824074074072</v>
      </c>
      <c r="C10" s="16" t="s">
        <v>2</v>
      </c>
      <c r="D10" s="17" t="s">
        <v>88</v>
      </c>
      <c r="F10" s="14">
        <v>8879446133</v>
      </c>
      <c r="G10" s="14" t="s">
        <v>76</v>
      </c>
    </row>
    <row r="11" spans="1:7" s="14" customFormat="1" ht="23.1" customHeight="1" x14ac:dyDescent="0.25">
      <c r="A11" s="12" t="s">
        <v>15</v>
      </c>
      <c r="B11" s="20"/>
      <c r="C11" s="111" t="s">
        <v>5</v>
      </c>
      <c r="D11" s="112">
        <v>9321381490</v>
      </c>
      <c r="F11" s="14">
        <v>9309133983</v>
      </c>
      <c r="G11" s="14" t="s">
        <v>77</v>
      </c>
    </row>
    <row r="12" spans="1:7" s="14" customFormat="1" ht="23.1" customHeight="1" x14ac:dyDescent="0.25">
      <c r="A12" s="12" t="s">
        <v>12</v>
      </c>
      <c r="B12" s="110"/>
      <c r="C12" s="113"/>
      <c r="D12" s="108"/>
      <c r="F12" s="14">
        <v>8828920771</v>
      </c>
      <c r="G12" s="14" t="s">
        <v>78</v>
      </c>
    </row>
    <row r="13" spans="1:7" s="14" customFormat="1" ht="23.1" customHeight="1" x14ac:dyDescent="0.25">
      <c r="A13" s="12" t="s">
        <v>21</v>
      </c>
      <c r="B13" s="110" t="s">
        <v>81</v>
      </c>
      <c r="C13" s="114"/>
      <c r="D13" s="109"/>
      <c r="F13" s="14">
        <v>9616522576</v>
      </c>
      <c r="G13" s="14" t="s">
        <v>79</v>
      </c>
    </row>
    <row r="14" spans="1:7" s="14" customFormat="1" ht="23.1" customHeight="1" x14ac:dyDescent="0.25">
      <c r="A14" s="12" t="s">
        <v>20</v>
      </c>
      <c r="B14" s="15" t="s">
        <v>82</v>
      </c>
      <c r="C14" s="106" t="s">
        <v>49</v>
      </c>
      <c r="D14" s="107" t="s">
        <v>89</v>
      </c>
    </row>
    <row r="15" spans="1:7" s="14" customFormat="1" ht="23.1" customHeight="1" x14ac:dyDescent="0.25">
      <c r="A15" s="12" t="s">
        <v>17</v>
      </c>
      <c r="B15" s="15" t="s">
        <v>83</v>
      </c>
      <c r="C15" s="18"/>
      <c r="D15" s="19"/>
    </row>
    <row r="16" spans="1:7" s="14" customFormat="1" ht="23.1" customHeight="1" x14ac:dyDescent="0.25">
      <c r="A16" s="12" t="s">
        <v>14</v>
      </c>
      <c r="B16" s="15">
        <v>8454995793</v>
      </c>
      <c r="C16" s="18"/>
      <c r="D16" s="19"/>
    </row>
    <row r="17" spans="1:4" s="14" customFormat="1" ht="23.1" customHeight="1" x14ac:dyDescent="0.25">
      <c r="A17" s="12" t="s">
        <v>11</v>
      </c>
      <c r="B17" s="15"/>
      <c r="C17" s="18"/>
      <c r="D17" s="19"/>
    </row>
    <row r="18" spans="1:4" s="14" customFormat="1" ht="23.1" customHeight="1" x14ac:dyDescent="0.25">
      <c r="A18" s="12" t="s">
        <v>4</v>
      </c>
      <c r="B18" s="15" t="s">
        <v>85</v>
      </c>
      <c r="C18" s="18"/>
      <c r="D18" s="19"/>
    </row>
    <row r="19" spans="1:4" s="14" customFormat="1" ht="23.1" customHeight="1" x14ac:dyDescent="0.25">
      <c r="A19" s="12" t="s">
        <v>19</v>
      </c>
      <c r="B19" s="15" t="s">
        <v>84</v>
      </c>
      <c r="C19" s="18"/>
      <c r="D19" s="19"/>
    </row>
    <row r="20" spans="1:4" s="14" customFormat="1" ht="23.1" customHeight="1" x14ac:dyDescent="0.25">
      <c r="A20" s="102"/>
      <c r="B20" s="103" t="s">
        <v>86</v>
      </c>
      <c r="C20" s="18"/>
      <c r="D20" s="19"/>
    </row>
    <row r="21" spans="1:4" s="6" customFormat="1" ht="24.95" customHeight="1" x14ac:dyDescent="0.2">
      <c r="A21" s="101"/>
      <c r="B21" s="101"/>
      <c r="C21" s="7"/>
    </row>
    <row r="22" spans="1:4" s="6" customFormat="1" ht="24.95" customHeight="1" x14ac:dyDescent="0.2">
      <c r="B22" s="2"/>
    </row>
    <row r="23" spans="1:4" s="6" customFormat="1" ht="24.95" customHeight="1" x14ac:dyDescent="0.2">
      <c r="B23" s="2"/>
      <c r="C23" s="8"/>
    </row>
    <row r="24" spans="1:4" s="6" customFormat="1" ht="24.95" customHeight="1" x14ac:dyDescent="0.2">
      <c r="B24" s="2"/>
      <c r="C24" s="9"/>
    </row>
    <row r="25" spans="1:4" s="6" customFormat="1" ht="24.95" customHeight="1" x14ac:dyDescent="0.2">
      <c r="B25" s="6" t="s">
        <v>80</v>
      </c>
    </row>
    <row r="26" spans="1:4" s="6" customFormat="1" ht="24.95" customHeight="1" x14ac:dyDescent="0.2"/>
    <row r="27" spans="1:4" s="6" customFormat="1" ht="24.95" customHeight="1" x14ac:dyDescent="0.2"/>
    <row r="28" spans="1:4" s="6" customFormat="1" ht="24.95" customHeight="1" x14ac:dyDescent="0.2"/>
    <row r="29" spans="1:4" s="10" customFormat="1" ht="24.95" customHeight="1" x14ac:dyDescent="0.2">
      <c r="B29" s="11"/>
    </row>
  </sheetData>
  <dataConsolidate/>
  <dataValidations count="7">
    <dataValidation type="list" allowBlank="1" showInputMessage="1" showErrorMessage="1" sqref="D9" xr:uid="{844D79D2-771D-4F2C-A9FE-B73E91324066}">
      <formula1>"MH 46 DC 0813 , MH 46 DC 0814 , MH 46 BB 9003 , MH 48 T 5967 , MH 43 BP 0826 , MH 46 CU 7870"</formula1>
    </dataValidation>
    <dataValidation type="list" allowBlank="1" showInputMessage="1" showErrorMessage="1" sqref="D10" xr:uid="{CF432D51-3D01-4141-A080-F37EF77FC1DA}">
      <formula1>"PREM , MANOJ JI  , SUBHASH MAMA , KAMAL , ROHIT  , DINKAR MAMA  "</formula1>
    </dataValidation>
    <dataValidation type="list" allowBlank="1" showInputMessage="1" showErrorMessage="1" sqref="D11" xr:uid="{43104040-7E83-458B-9293-284AF201DBAB}">
      <formula1>"9321381490 , 8879446133 ,9309133983 ,8828920771 , 9616522576"</formula1>
    </dataValidation>
    <dataValidation type="list" allowBlank="1" showInputMessage="1" showErrorMessage="1" sqref="B13" xr:uid="{27229789-03E1-498A-A139-413F52D8EACE}">
      <formula1>"DS INFRA , DB INFRA , HIRAWATI ENTERPRISES , NEXUUS INFRA "</formula1>
    </dataValidation>
    <dataValidation type="list" allowBlank="1" showInputMessage="1" showErrorMessage="1" sqref="B14" xr:uid="{AA815FBF-D2BB-4903-9E63-E159046B9F97}">
      <formula1>"Taloja Phase1 , Kharghar , Khanda Colony , Juigaon Kamothe , Kalamboli,"</formula1>
    </dataValidation>
    <dataValidation type="list" allowBlank="1" showInputMessage="1" showErrorMessage="1" sqref="B15" xr:uid="{AF6742C6-4138-4EAD-93F8-5D19AB0D29F9}">
      <formula1>"Er. Akshay , Er. Aadesh , Suraj , Narayan Ji "</formula1>
    </dataValidation>
    <dataValidation type="list" allowBlank="1" showInputMessage="1" showErrorMessage="1" sqref="B16" xr:uid="{1B4E7079-B3D2-4402-842E-F64653103FD3}">
      <formula1>"8454995793 , 9766921554  ,9987342569 , 8879805815"</formula1>
    </dataValidation>
  </dataValidations>
  <pageMargins left="0.7" right="0.7" top="0.75" bottom="0.75" header="0.3" footer="0.3"/>
  <pageSetup paperSize="9" orientation="landscape" horizontalDpi="4294967293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SAVE_AND_WHATSAPP">
                <anchor moveWithCells="1" sizeWithCells="1">
                  <from>
                    <xdr:col>0</xdr:col>
                    <xdr:colOff>209550</xdr:colOff>
                    <xdr:row>21</xdr:row>
                    <xdr:rowOff>38100</xdr:rowOff>
                  </from>
                  <to>
                    <xdr:col>1</xdr:col>
                    <xdr:colOff>1847850</xdr:colOff>
                    <xdr:row>23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G52"/>
  <sheetViews>
    <sheetView showGridLines="0" tabSelected="1" showRuler="0" topLeftCell="D2" zoomScale="55" zoomScaleNormal="55" zoomScalePageLayoutView="25" workbookViewId="0">
      <selection activeCell="E1" sqref="A1:XFD1048576"/>
    </sheetView>
  </sheetViews>
  <sheetFormatPr defaultRowHeight="21" x14ac:dyDescent="0.3"/>
  <cols>
    <col min="1" max="1" width="0" hidden="1" customWidth="1"/>
    <col min="2" max="2" width="37.93359375" style="30" customWidth="1"/>
    <col min="3" max="3" width="2.15234375" style="30" customWidth="1"/>
    <col min="4" max="4" width="73.3125" style="29" customWidth="1"/>
    <col min="5" max="5" width="48.29296875" style="3" customWidth="1"/>
    <col min="6" max="6" width="2.015625" style="35" customWidth="1"/>
    <col min="7" max="7" width="117.9765625" style="29" customWidth="1"/>
    <col min="8" max="8" width="12.10546875" customWidth="1"/>
  </cols>
  <sheetData>
    <row r="1" spans="2:7" ht="53.25" customHeight="1" thickBot="1" x14ac:dyDescent="0.35"/>
    <row r="2" spans="2:7" s="42" customFormat="1" ht="120.75" customHeight="1" x14ac:dyDescent="0.2">
      <c r="B2" s="131" t="s">
        <v>3</v>
      </c>
      <c r="C2" s="132"/>
      <c r="D2" s="132"/>
      <c r="E2" s="132"/>
      <c r="F2" s="132"/>
      <c r="G2" s="133"/>
    </row>
    <row r="3" spans="2:7" s="115" customFormat="1" ht="30" customHeight="1" x14ac:dyDescent="0.2">
      <c r="B3" s="134" t="s">
        <v>27</v>
      </c>
      <c r="C3" s="135"/>
      <c r="D3" s="135"/>
      <c r="E3" s="135"/>
      <c r="F3" s="135"/>
      <c r="G3" s="136"/>
    </row>
    <row r="4" spans="2:7" s="115" customFormat="1" ht="30" customHeight="1" x14ac:dyDescent="0.2">
      <c r="B4" s="134" t="s">
        <v>26</v>
      </c>
      <c r="C4" s="135"/>
      <c r="D4" s="135"/>
      <c r="E4" s="135"/>
      <c r="F4" s="135"/>
      <c r="G4" s="136"/>
    </row>
    <row r="5" spans="2:7" s="116" customFormat="1" ht="30" customHeight="1" x14ac:dyDescent="0.3">
      <c r="B5" s="137" t="s">
        <v>50</v>
      </c>
      <c r="C5" s="138"/>
      <c r="D5" s="138"/>
      <c r="E5" s="138"/>
      <c r="F5" s="138"/>
      <c r="G5" s="139"/>
    </row>
    <row r="6" spans="2:7" s="33" customFormat="1" ht="59.25" customHeight="1" x14ac:dyDescent="0.55000000000000004">
      <c r="B6" s="140" t="s">
        <v>25</v>
      </c>
      <c r="C6" s="141"/>
      <c r="D6" s="141"/>
      <c r="E6" s="141"/>
      <c r="F6" s="141"/>
      <c r="G6" s="142"/>
    </row>
    <row r="7" spans="2:7" s="34" customFormat="1" ht="38.25" customHeight="1" x14ac:dyDescent="0.2">
      <c r="B7" s="128" t="s">
        <v>24</v>
      </c>
      <c r="C7" s="129"/>
      <c r="D7" s="129"/>
      <c r="E7" s="129" t="s">
        <v>23</v>
      </c>
      <c r="F7" s="129"/>
      <c r="G7" s="130"/>
    </row>
    <row r="8" spans="2:7" s="31" customFormat="1" ht="27.95" customHeight="1" x14ac:dyDescent="0.55000000000000004">
      <c r="B8" s="44" t="s">
        <v>55</v>
      </c>
      <c r="C8" s="45" t="s">
        <v>56</v>
      </c>
      <c r="D8" s="46">
        <f>MASTER_INPUT!B9</f>
        <v>46111</v>
      </c>
      <c r="E8" s="47" t="s">
        <v>64</v>
      </c>
      <c r="F8" s="48" t="s">
        <v>56</v>
      </c>
      <c r="G8" s="49">
        <f>MASTER_INPUT!C6</f>
        <v>0.53843750000000001</v>
      </c>
    </row>
    <row r="9" spans="2:7" s="32" customFormat="1" ht="27.95" customHeight="1" x14ac:dyDescent="0.55000000000000004">
      <c r="B9" s="44" t="s">
        <v>57</v>
      </c>
      <c r="C9" s="50" t="s">
        <v>56</v>
      </c>
      <c r="D9" s="100">
        <f>MASTER_INPUT!A2</f>
        <v>1010</v>
      </c>
      <c r="E9" s="51" t="s">
        <v>65</v>
      </c>
      <c r="F9" s="48" t="s">
        <v>56</v>
      </c>
      <c r="G9" s="52">
        <f>MASTER_INPUT!C7</f>
        <v>0.54341435185185183</v>
      </c>
    </row>
    <row r="10" spans="2:7" s="32" customFormat="1" ht="27.95" customHeight="1" x14ac:dyDescent="0.55000000000000004">
      <c r="B10" s="44" t="s">
        <v>62</v>
      </c>
      <c r="C10" s="45" t="s">
        <v>56</v>
      </c>
      <c r="D10" s="53">
        <f>MASTER_INPUT!A3</f>
        <v>1044</v>
      </c>
      <c r="E10" s="47" t="s">
        <v>4</v>
      </c>
      <c r="F10" s="48" t="s">
        <v>56</v>
      </c>
      <c r="G10" s="54" t="str">
        <f>MASTER_INPUT!B18</f>
        <v>7.00 Cum</v>
      </c>
    </row>
    <row r="11" spans="2:7" s="32" customFormat="1" ht="27.95" customHeight="1" x14ac:dyDescent="0.55000000000000004">
      <c r="B11" s="44" t="s">
        <v>58</v>
      </c>
      <c r="C11" s="50" t="s">
        <v>56</v>
      </c>
      <c r="D11" s="55" t="str">
        <f>MASTER_INPUT!B13</f>
        <v xml:space="preserve">DS INFRA </v>
      </c>
      <c r="E11" s="47" t="s">
        <v>1</v>
      </c>
      <c r="F11" s="48" t="s">
        <v>56</v>
      </c>
      <c r="G11" s="54" t="str">
        <f>MASTER_INPUT!B19</f>
        <v>RMC M-20</v>
      </c>
    </row>
    <row r="12" spans="2:7" s="32" customFormat="1" ht="27.95" customHeight="1" x14ac:dyDescent="0.55000000000000004">
      <c r="B12" s="44" t="s">
        <v>63</v>
      </c>
      <c r="C12" s="50" t="s">
        <v>56</v>
      </c>
      <c r="D12" s="53">
        <f>MASTER_INPUT!B17</f>
        <v>0</v>
      </c>
      <c r="E12" s="47" t="s">
        <v>13</v>
      </c>
      <c r="F12" s="48" t="s">
        <v>56</v>
      </c>
      <c r="G12" s="56" t="s">
        <v>46</v>
      </c>
    </row>
    <row r="13" spans="2:7" s="32" customFormat="1" ht="27.95" customHeight="1" x14ac:dyDescent="0.55000000000000004">
      <c r="B13" s="44" t="s">
        <v>59</v>
      </c>
      <c r="C13" s="50" t="s">
        <v>56</v>
      </c>
      <c r="D13" s="57" t="str">
        <f>MASTER_INPUT!B14</f>
        <v xml:space="preserve">Khanda Colony </v>
      </c>
      <c r="E13" s="47" t="s">
        <v>10</v>
      </c>
      <c r="F13" s="48" t="s">
        <v>56</v>
      </c>
      <c r="G13" s="56" t="s">
        <v>47</v>
      </c>
    </row>
    <row r="14" spans="2:7" s="32" customFormat="1" ht="27.95" customHeight="1" x14ac:dyDescent="0.55000000000000004">
      <c r="B14" s="44" t="s">
        <v>60</v>
      </c>
      <c r="C14" s="50" t="s">
        <v>56</v>
      </c>
      <c r="D14" s="53" t="str">
        <f>MASTER_INPUT!B15</f>
        <v xml:space="preserve">Er. Akshay </v>
      </c>
      <c r="E14" s="47" t="s">
        <v>7</v>
      </c>
      <c r="F14" s="48" t="s">
        <v>56</v>
      </c>
      <c r="G14" s="56" t="s">
        <v>48</v>
      </c>
    </row>
    <row r="15" spans="2:7" s="32" customFormat="1" ht="27.95" customHeight="1" thickBot="1" x14ac:dyDescent="0.6">
      <c r="B15" s="58" t="s">
        <v>14</v>
      </c>
      <c r="C15" s="37" t="s">
        <v>56</v>
      </c>
      <c r="D15" s="38">
        <f>MASTER_INPUT!B16</f>
        <v>8454995793</v>
      </c>
      <c r="E15" s="39" t="s">
        <v>66</v>
      </c>
      <c r="F15" s="40" t="s">
        <v>56</v>
      </c>
      <c r="G15" s="59" t="s">
        <v>45</v>
      </c>
    </row>
    <row r="16" spans="2:7" s="31" customFormat="1" ht="33" customHeight="1" x14ac:dyDescent="0.4">
      <c r="B16" s="69" t="s">
        <v>61</v>
      </c>
      <c r="C16" s="70" t="s">
        <v>56</v>
      </c>
      <c r="D16" s="67" t="str">
        <f>MASTER_INPUT!D9</f>
        <v xml:space="preserve">MH 46 DC 0813 </v>
      </c>
      <c r="E16" s="71" t="s">
        <v>67</v>
      </c>
      <c r="F16" s="71" t="s">
        <v>67</v>
      </c>
      <c r="G16" s="65">
        <f>MASTER_INPUT!D11</f>
        <v>9321381490</v>
      </c>
    </row>
    <row r="17" spans="2:7" s="31" customFormat="1" ht="33" customHeight="1" x14ac:dyDescent="0.4">
      <c r="B17" s="72" t="s">
        <v>73</v>
      </c>
      <c r="C17" s="63" t="s">
        <v>56</v>
      </c>
      <c r="D17" s="68"/>
      <c r="E17" s="64" t="s">
        <v>74</v>
      </c>
      <c r="F17" s="41" t="s">
        <v>56</v>
      </c>
      <c r="G17" s="66"/>
    </row>
    <row r="18" spans="2:7" s="31" customFormat="1" ht="38.25" customHeight="1" thickBot="1" x14ac:dyDescent="0.45">
      <c r="B18" s="76" t="s">
        <v>72</v>
      </c>
      <c r="C18" s="73" t="s">
        <v>56</v>
      </c>
      <c r="D18" s="77" t="str">
        <f>MASTER_INPUT!B20</f>
        <v>07 CuM</v>
      </c>
      <c r="E18" s="75" t="s">
        <v>71</v>
      </c>
      <c r="F18" s="74" t="s">
        <v>56</v>
      </c>
      <c r="G18" s="95" t="str">
        <f>MASTER_INPUT!D14</f>
        <v>07.00 CuM</v>
      </c>
    </row>
    <row r="19" spans="2:7" s="32" customFormat="1" ht="30" customHeight="1" x14ac:dyDescent="0.2">
      <c r="B19" s="151" t="s">
        <v>51</v>
      </c>
      <c r="C19" s="152"/>
      <c r="D19" s="152"/>
      <c r="E19" s="152"/>
      <c r="F19" s="152"/>
      <c r="G19" s="153"/>
    </row>
    <row r="20" spans="2:7" s="26" customFormat="1" ht="30" customHeight="1" x14ac:dyDescent="0.2">
      <c r="B20" s="146" t="s">
        <v>52</v>
      </c>
      <c r="C20" s="147"/>
      <c r="D20" s="147"/>
      <c r="E20" s="147"/>
      <c r="F20" s="147"/>
      <c r="G20" s="148"/>
    </row>
    <row r="21" spans="2:7" s="26" customFormat="1" ht="30" customHeight="1" x14ac:dyDescent="0.2">
      <c r="B21" s="149" t="s">
        <v>53</v>
      </c>
      <c r="C21" s="150"/>
      <c r="D21" s="147"/>
      <c r="E21" s="147"/>
      <c r="F21" s="147"/>
      <c r="G21" s="148"/>
    </row>
    <row r="22" spans="2:7" s="27" customFormat="1" ht="30" customHeight="1" thickBot="1" x14ac:dyDescent="0.25">
      <c r="B22" s="118" t="s">
        <v>54</v>
      </c>
      <c r="C22" s="119"/>
      <c r="D22" s="119"/>
      <c r="E22" s="119"/>
      <c r="F22" s="119"/>
      <c r="G22" s="120"/>
    </row>
    <row r="23" spans="2:7" s="36" customFormat="1" ht="32.25" customHeight="1" x14ac:dyDescent="0.45">
      <c r="B23" s="60"/>
      <c r="G23" s="61"/>
    </row>
    <row r="24" spans="2:7" s="43" customFormat="1" ht="63.75" customHeight="1" x14ac:dyDescent="0.4">
      <c r="B24" s="121" t="s">
        <v>68</v>
      </c>
      <c r="C24" s="122"/>
      <c r="D24" s="122"/>
      <c r="E24" s="123" t="s">
        <v>70</v>
      </c>
      <c r="F24" s="123"/>
      <c r="G24" s="124"/>
    </row>
    <row r="25" spans="2:7" s="28" customFormat="1" ht="30" customHeight="1" thickBot="1" x14ac:dyDescent="0.35">
      <c r="B25" s="125" t="s">
        <v>69</v>
      </c>
      <c r="C25" s="126"/>
      <c r="D25" s="126"/>
      <c r="E25" s="126"/>
      <c r="F25" s="126"/>
      <c r="G25" s="127"/>
    </row>
    <row r="26" spans="2:7" s="97" customFormat="1" ht="66.75" customHeight="1" x14ac:dyDescent="0.3">
      <c r="B26" s="96"/>
      <c r="C26" s="96"/>
      <c r="D26" s="96"/>
      <c r="E26" s="96"/>
      <c r="F26" s="96"/>
      <c r="G26" s="96"/>
    </row>
    <row r="27" spans="2:7" s="97" customFormat="1" ht="20.25" customHeight="1" thickBot="1" x14ac:dyDescent="0.35">
      <c r="B27" s="98"/>
      <c r="C27" s="96"/>
      <c r="D27" s="98"/>
      <c r="E27" s="98"/>
      <c r="F27" s="96"/>
      <c r="G27" s="96"/>
    </row>
    <row r="28" spans="2:7" ht="45" customHeight="1" thickBot="1" x14ac:dyDescent="0.35">
      <c r="G28" s="99"/>
    </row>
    <row r="29" spans="2:7" s="117" customFormat="1" ht="120.75" customHeight="1" x14ac:dyDescent="0.2">
      <c r="B29" s="131" t="s">
        <v>3</v>
      </c>
      <c r="C29" s="132"/>
      <c r="D29" s="132"/>
      <c r="E29" s="132"/>
      <c r="F29" s="132"/>
      <c r="G29" s="133"/>
    </row>
    <row r="30" spans="2:7" s="115" customFormat="1" ht="30" customHeight="1" x14ac:dyDescent="0.2">
      <c r="B30" s="134" t="s">
        <v>27</v>
      </c>
      <c r="C30" s="135"/>
      <c r="D30" s="135"/>
      <c r="E30" s="135"/>
      <c r="F30" s="135"/>
      <c r="G30" s="136"/>
    </row>
    <row r="31" spans="2:7" s="115" customFormat="1" ht="30" customHeight="1" x14ac:dyDescent="0.2">
      <c r="B31" s="134" t="s">
        <v>26</v>
      </c>
      <c r="C31" s="135"/>
      <c r="D31" s="135"/>
      <c r="E31" s="135"/>
      <c r="F31" s="135"/>
      <c r="G31" s="136"/>
    </row>
    <row r="32" spans="2:7" s="116" customFormat="1" ht="30" customHeight="1" x14ac:dyDescent="0.3">
      <c r="B32" s="137" t="s">
        <v>50</v>
      </c>
      <c r="C32" s="138"/>
      <c r="D32" s="138"/>
      <c r="E32" s="138"/>
      <c r="F32" s="138"/>
      <c r="G32" s="139"/>
    </row>
    <row r="33" spans="2:7" s="33" customFormat="1" ht="59.25" customHeight="1" x14ac:dyDescent="0.55000000000000004">
      <c r="B33" s="140" t="s">
        <v>25</v>
      </c>
      <c r="C33" s="141"/>
      <c r="D33" s="141"/>
      <c r="E33" s="141"/>
      <c r="F33" s="141"/>
      <c r="G33" s="142"/>
    </row>
    <row r="34" spans="2:7" s="34" customFormat="1" ht="38.25" customHeight="1" x14ac:dyDescent="0.2">
      <c r="B34" s="143" t="s">
        <v>24</v>
      </c>
      <c r="C34" s="144"/>
      <c r="D34" s="144"/>
      <c r="E34" s="144" t="s">
        <v>23</v>
      </c>
      <c r="F34" s="144"/>
      <c r="G34" s="145"/>
    </row>
    <row r="35" spans="2:7" s="31" customFormat="1" ht="27.95" customHeight="1" x14ac:dyDescent="0.55000000000000004">
      <c r="B35" s="44" t="s">
        <v>55</v>
      </c>
      <c r="C35" s="45" t="s">
        <v>56</v>
      </c>
      <c r="D35" s="46">
        <f t="shared" ref="D35:D44" si="0">D8</f>
        <v>46111</v>
      </c>
      <c r="E35" s="47" t="s">
        <v>64</v>
      </c>
      <c r="F35" s="48" t="s">
        <v>56</v>
      </c>
      <c r="G35" s="49">
        <f t="shared" ref="G35:G45" si="1">G8</f>
        <v>0.53843750000000001</v>
      </c>
    </row>
    <row r="36" spans="2:7" s="32" customFormat="1" ht="27.95" customHeight="1" x14ac:dyDescent="0.55000000000000004">
      <c r="B36" s="44" t="s">
        <v>57</v>
      </c>
      <c r="C36" s="50" t="s">
        <v>56</v>
      </c>
      <c r="D36" s="100">
        <f t="shared" si="0"/>
        <v>1010</v>
      </c>
      <c r="E36" s="51" t="s">
        <v>65</v>
      </c>
      <c r="F36" s="48" t="s">
        <v>56</v>
      </c>
      <c r="G36" s="52">
        <f t="shared" si="1"/>
        <v>0.54341435185185183</v>
      </c>
    </row>
    <row r="37" spans="2:7" s="32" customFormat="1" ht="27.95" customHeight="1" x14ac:dyDescent="0.55000000000000004">
      <c r="B37" s="44" t="s">
        <v>62</v>
      </c>
      <c r="C37" s="45" t="s">
        <v>56</v>
      </c>
      <c r="D37" s="53">
        <f t="shared" si="0"/>
        <v>1044</v>
      </c>
      <c r="E37" s="47" t="s">
        <v>4</v>
      </c>
      <c r="F37" s="48" t="s">
        <v>56</v>
      </c>
      <c r="G37" s="54" t="str">
        <f t="shared" si="1"/>
        <v>7.00 Cum</v>
      </c>
    </row>
    <row r="38" spans="2:7" s="32" customFormat="1" ht="27.95" customHeight="1" x14ac:dyDescent="0.55000000000000004">
      <c r="B38" s="44" t="s">
        <v>58</v>
      </c>
      <c r="C38" s="50" t="s">
        <v>56</v>
      </c>
      <c r="D38" s="55" t="str">
        <f t="shared" si="0"/>
        <v xml:space="preserve">DS INFRA </v>
      </c>
      <c r="E38" s="47" t="s">
        <v>1</v>
      </c>
      <c r="F38" s="48" t="s">
        <v>56</v>
      </c>
      <c r="G38" s="54" t="str">
        <f t="shared" si="1"/>
        <v>RMC M-20</v>
      </c>
    </row>
    <row r="39" spans="2:7" s="32" customFormat="1" ht="27.95" customHeight="1" x14ac:dyDescent="0.55000000000000004">
      <c r="B39" s="44" t="s">
        <v>63</v>
      </c>
      <c r="C39" s="50" t="s">
        <v>56</v>
      </c>
      <c r="D39" s="53">
        <f t="shared" si="0"/>
        <v>0</v>
      </c>
      <c r="E39" s="47" t="s">
        <v>13</v>
      </c>
      <c r="F39" s="48" t="s">
        <v>56</v>
      </c>
      <c r="G39" s="56" t="str">
        <f t="shared" si="1"/>
        <v>OPC 53 Ultratech</v>
      </c>
    </row>
    <row r="40" spans="2:7" s="32" customFormat="1" ht="27.95" customHeight="1" x14ac:dyDescent="0.55000000000000004">
      <c r="B40" s="44" t="s">
        <v>59</v>
      </c>
      <c r="C40" s="50" t="s">
        <v>56</v>
      </c>
      <c r="D40" s="57" t="str">
        <f t="shared" si="0"/>
        <v xml:space="preserve">Khanda Colony </v>
      </c>
      <c r="E40" s="47" t="s">
        <v>10</v>
      </c>
      <c r="F40" s="48" t="s">
        <v>56</v>
      </c>
      <c r="G40" s="56" t="str">
        <f t="shared" si="1"/>
        <v>PEC</v>
      </c>
    </row>
    <row r="41" spans="2:7" s="32" customFormat="1" ht="27.95" customHeight="1" x14ac:dyDescent="0.55000000000000004">
      <c r="B41" s="44" t="s">
        <v>60</v>
      </c>
      <c r="C41" s="50" t="s">
        <v>56</v>
      </c>
      <c r="D41" s="53" t="str">
        <f t="shared" si="0"/>
        <v xml:space="preserve">Er. Akshay </v>
      </c>
      <c r="E41" s="47" t="s">
        <v>7</v>
      </c>
      <c r="F41" s="48" t="s">
        <v>56</v>
      </c>
      <c r="G41" s="56" t="str">
        <f t="shared" si="1"/>
        <v>180 MM</v>
      </c>
    </row>
    <row r="42" spans="2:7" s="32" customFormat="1" ht="27.95" customHeight="1" thickBot="1" x14ac:dyDescent="0.6">
      <c r="B42" s="44" t="s">
        <v>14</v>
      </c>
      <c r="C42" s="50" t="s">
        <v>56</v>
      </c>
      <c r="D42" s="53">
        <f t="shared" si="0"/>
        <v>8454995793</v>
      </c>
      <c r="E42" s="51" t="s">
        <v>66</v>
      </c>
      <c r="F42" s="48" t="s">
        <v>56</v>
      </c>
      <c r="G42" s="62" t="str">
        <f t="shared" si="1"/>
        <v>YES</v>
      </c>
    </row>
    <row r="43" spans="2:7" s="31" customFormat="1" ht="33" customHeight="1" x14ac:dyDescent="0.4">
      <c r="B43" s="82" t="s">
        <v>61</v>
      </c>
      <c r="C43" s="83" t="s">
        <v>56</v>
      </c>
      <c r="D43" s="84" t="str">
        <f t="shared" si="0"/>
        <v xml:space="preserve">MH 46 DC 0813 </v>
      </c>
      <c r="E43" s="85" t="s">
        <v>67</v>
      </c>
      <c r="F43" s="85" t="s">
        <v>67</v>
      </c>
      <c r="G43" s="86">
        <f t="shared" si="1"/>
        <v>9321381490</v>
      </c>
    </row>
    <row r="44" spans="2:7" s="31" customFormat="1" ht="33" customHeight="1" x14ac:dyDescent="0.4">
      <c r="B44" s="87" t="s">
        <v>73</v>
      </c>
      <c r="C44" s="63" t="s">
        <v>56</v>
      </c>
      <c r="D44" s="78"/>
      <c r="E44" s="64" t="s">
        <v>74</v>
      </c>
      <c r="F44" s="41" t="s">
        <v>56</v>
      </c>
      <c r="G44" s="88"/>
    </row>
    <row r="45" spans="2:7" s="31" customFormat="1" ht="38.25" customHeight="1" thickBot="1" x14ac:dyDescent="0.45">
      <c r="B45" s="89" t="s">
        <v>72</v>
      </c>
      <c r="C45" s="90" t="s">
        <v>56</v>
      </c>
      <c r="D45" s="91" t="str">
        <f>D18</f>
        <v>07 CuM</v>
      </c>
      <c r="E45" s="92" t="s">
        <v>71</v>
      </c>
      <c r="F45" s="93" t="s">
        <v>56</v>
      </c>
      <c r="G45" s="94" t="str">
        <f t="shared" si="1"/>
        <v>07.00 CuM</v>
      </c>
    </row>
    <row r="46" spans="2:7" s="32" customFormat="1" ht="30" customHeight="1" x14ac:dyDescent="0.2">
      <c r="B46" s="146" t="s">
        <v>51</v>
      </c>
      <c r="C46" s="147"/>
      <c r="D46" s="147"/>
      <c r="E46" s="147"/>
      <c r="F46" s="147"/>
      <c r="G46" s="148"/>
    </row>
    <row r="47" spans="2:7" s="26" customFormat="1" ht="30" customHeight="1" x14ac:dyDescent="0.2">
      <c r="B47" s="146" t="s">
        <v>52</v>
      </c>
      <c r="C47" s="147"/>
      <c r="D47" s="147"/>
      <c r="E47" s="147"/>
      <c r="F47" s="147"/>
      <c r="G47" s="148"/>
    </row>
    <row r="48" spans="2:7" s="26" customFormat="1" ht="30" customHeight="1" x14ac:dyDescent="0.2">
      <c r="B48" s="149" t="s">
        <v>53</v>
      </c>
      <c r="C48" s="150"/>
      <c r="D48" s="147"/>
      <c r="E48" s="147"/>
      <c r="F48" s="147"/>
      <c r="G48" s="148"/>
    </row>
    <row r="49" spans="2:7" s="27" customFormat="1" ht="30" customHeight="1" thickBot="1" x14ac:dyDescent="0.25">
      <c r="B49" s="118" t="s">
        <v>54</v>
      </c>
      <c r="C49" s="119"/>
      <c r="D49" s="119"/>
      <c r="E49" s="119"/>
      <c r="F49" s="119"/>
      <c r="G49" s="120"/>
    </row>
    <row r="50" spans="2:7" s="36" customFormat="1" ht="32.25" customHeight="1" x14ac:dyDescent="0.45">
      <c r="B50" s="60"/>
      <c r="G50" s="61"/>
    </row>
    <row r="51" spans="2:7" s="43" customFormat="1" ht="63.75" customHeight="1" x14ac:dyDescent="0.4">
      <c r="B51" s="121" t="s">
        <v>68</v>
      </c>
      <c r="C51" s="122"/>
      <c r="D51" s="122"/>
      <c r="E51" s="123" t="s">
        <v>70</v>
      </c>
      <c r="F51" s="123"/>
      <c r="G51" s="124"/>
    </row>
    <row r="52" spans="2:7" s="28" customFormat="1" ht="30" customHeight="1" thickBot="1" x14ac:dyDescent="0.35">
      <c r="B52" s="125" t="s">
        <v>69</v>
      </c>
      <c r="C52" s="126"/>
      <c r="D52" s="126"/>
      <c r="E52" s="126"/>
      <c r="F52" s="126"/>
      <c r="G52" s="127"/>
    </row>
  </sheetData>
  <mergeCells count="28">
    <mergeCell ref="B47:G47"/>
    <mergeCell ref="B48:G48"/>
    <mergeCell ref="B2:G2"/>
    <mergeCell ref="B3:G3"/>
    <mergeCell ref="B4:G4"/>
    <mergeCell ref="B5:G5"/>
    <mergeCell ref="B22:G22"/>
    <mergeCell ref="B6:G6"/>
    <mergeCell ref="B19:G19"/>
    <mergeCell ref="B20:G20"/>
    <mergeCell ref="B21:G21"/>
    <mergeCell ref="B24:D24"/>
    <mergeCell ref="B49:G49"/>
    <mergeCell ref="B51:D51"/>
    <mergeCell ref="E51:G51"/>
    <mergeCell ref="B52:G52"/>
    <mergeCell ref="B7:D7"/>
    <mergeCell ref="E7:G7"/>
    <mergeCell ref="E24:G24"/>
    <mergeCell ref="B25:G25"/>
    <mergeCell ref="B29:G29"/>
    <mergeCell ref="B30:G30"/>
    <mergeCell ref="B31:G31"/>
    <mergeCell ref="B32:G32"/>
    <mergeCell ref="B33:G33"/>
    <mergeCell ref="B34:D34"/>
    <mergeCell ref="E34:G34"/>
    <mergeCell ref="B46:G46"/>
  </mergeCells>
  <printOptions horizontalCentered="1" verticalCentered="1"/>
  <pageMargins left="0.25" right="0.25" top="0.28000000000000003" bottom="0.34" header="0.3" footer="0.3"/>
  <pageSetup paperSize="9" scale="35" orientation="portrait" horizontalDpi="4294967293" r:id="rId1"/>
  <headerFooter differentFirst="1"/>
  <rowBreaks count="1" manualBreakCount="1">
    <brk id="23" max="16383" man="1"/>
  </rowBreaks>
  <colBreaks count="1" manualBreakCount="1">
    <brk id="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C55F-A4EC-3843-85BF-9E3F1C2B2ECC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637D-AA9F-406E-9D14-23BCA880D51C}">
  <sheetPr published="0" codeName="Sheet6"/>
  <dimension ref="A1"/>
  <sheetViews>
    <sheetView workbookViewId="0">
      <selection activeCell="L36" sqref="L36"/>
    </sheetView>
  </sheetViews>
  <sheetFormatPr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Sheet4"/>
  <dimension ref="A1:U1"/>
  <sheetViews>
    <sheetView showFormulas="1" zoomScale="77" zoomScaleNormal="77" workbookViewId="0">
      <selection activeCell="A2" sqref="A2"/>
    </sheetView>
  </sheetViews>
  <sheetFormatPr defaultRowHeight="15" x14ac:dyDescent="0.2"/>
  <cols>
    <col min="2" max="2" width="11.1640625" customWidth="1"/>
    <col min="3" max="3" width="16.0078125" customWidth="1"/>
    <col min="4" max="4" width="15.33203125" customWidth="1"/>
    <col min="5" max="5" width="19.90625" customWidth="1"/>
    <col min="6" max="6" width="14.52734375" customWidth="1"/>
    <col min="7" max="7" width="14.796875" customWidth="1"/>
    <col min="8" max="8" width="14.125" customWidth="1"/>
    <col min="9" max="9" width="12.23828125" customWidth="1"/>
    <col min="10" max="10" width="19.90625" customWidth="1"/>
    <col min="12" max="12" width="11.8359375" customWidth="1"/>
    <col min="13" max="13" width="14.125" customWidth="1"/>
    <col min="14" max="14" width="14.390625" customWidth="1"/>
    <col min="15" max="15" width="13.046875" customWidth="1"/>
    <col min="16" max="16" width="16.27734375" customWidth="1"/>
    <col min="17" max="17" width="17.21875" customWidth="1"/>
    <col min="18" max="18" width="12.375" customWidth="1"/>
  </cols>
  <sheetData>
    <row r="1" spans="1:21" s="2" customFormat="1" ht="36" customHeight="1" x14ac:dyDescent="0.2">
      <c r="A1" s="22"/>
      <c r="B1" s="1" t="s">
        <v>38</v>
      </c>
      <c r="C1" s="1" t="s">
        <v>39</v>
      </c>
      <c r="D1" s="1" t="s">
        <v>40</v>
      </c>
      <c r="E1" s="1" t="s">
        <v>21</v>
      </c>
      <c r="F1" s="1" t="s">
        <v>41</v>
      </c>
      <c r="G1" s="1" t="s">
        <v>42</v>
      </c>
      <c r="H1" s="1" t="s">
        <v>44</v>
      </c>
      <c r="I1" s="1" t="s">
        <v>14</v>
      </c>
      <c r="J1" s="1" t="s">
        <v>28</v>
      </c>
      <c r="K1" s="1" t="s">
        <v>29</v>
      </c>
      <c r="L1" s="1" t="s">
        <v>1</v>
      </c>
      <c r="M1" s="1" t="s">
        <v>43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</row>
  </sheetData>
  <pageMargins left="0.75" right="0.75" top="1" bottom="1" header="0.5" footer="0.5"/>
  <cellWatches>
    <cellWatch r="A1"/>
  </cellWatch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MASTER_INPUT</vt:lpstr>
      <vt:lpstr>DELIVERY_CHALLAN_FORMAT</vt:lpstr>
      <vt:lpstr>Sheet1</vt:lpstr>
      <vt:lpstr>BATCH_REPORT_FORMAT</vt:lpstr>
      <vt:lpstr>DAILY_REGISTER</vt:lpstr>
      <vt:lpstr>DELIVERY_CHALLAN_FORMAT!Print_Area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Aakruti Infra RMC</dc:creator>
  <cp:lastModifiedBy>Aakruti Infra RMC</cp:lastModifiedBy>
  <cp:lastPrinted>2026-03-26T07:34:08Z</cp:lastPrinted>
  <dcterms:created xsi:type="dcterms:W3CDTF">2026-02-09T13:09:23Z</dcterms:created>
  <dcterms:modified xsi:type="dcterms:W3CDTF">2026-03-26T07:35:17Z</dcterms:modified>
</cp:coreProperties>
</file>